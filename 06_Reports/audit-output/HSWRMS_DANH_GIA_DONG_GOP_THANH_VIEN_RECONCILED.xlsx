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Source_Manifest" sheetId="2" state="visible" r:id="rId2"/>
    <sheet xmlns:r="http://schemas.openxmlformats.org/officeDocument/2006/relationships" name="Executive_Summary" sheetId="3" state="visible" r:id="rId3"/>
    <sheet xmlns:r="http://schemas.openxmlformats.org/officeDocument/2006/relationships" name="Member_Reconciliation" sheetId="4" state="visible" r:id="rId4"/>
    <sheet xmlns:r="http://schemas.openxmlformats.org/officeDocument/2006/relationships" name="Task_Assignment" sheetId="5" state="visible" r:id="rId5"/>
    <sheet xmlns:r="http://schemas.openxmlformats.org/officeDocument/2006/relationships" name="Contribution_Log" sheetId="6" state="visible" r:id="rId6"/>
    <sheet xmlns:r="http://schemas.openxmlformats.org/officeDocument/2006/relationships" name="Module_Completeness" sheetId="7" state="visible" r:id="rId7"/>
    <sheet xmlns:r="http://schemas.openxmlformats.org/officeDocument/2006/relationships" name="Test_Evidence" sheetId="8" state="visible" r:id="rId8"/>
    <sheet xmlns:r="http://schemas.openxmlformats.org/officeDocument/2006/relationships" name="Gap_Register" sheetId="9" state="visible" r:id="rId9"/>
    <sheet xmlns:r="http://schemas.openxmlformats.org/officeDocument/2006/relationships" name="Scoring_Rubric" sheetId="10" state="visible" r:id="rId10"/>
    <sheet xmlns:r="http://schemas.openxmlformats.org/officeDocument/2006/relationships" name="Member_Scorecard" sheetId="11" state="visible" r:id="rId11"/>
    <sheet xmlns:r="http://schemas.openxmlformats.org/officeDocument/2006/relationships" name="Conflict_Register" sheetId="12" state="visible" r:id="rId12"/>
    <sheet xmlns:r="http://schemas.openxmlformats.org/officeDocument/2006/relationships" name="Verification_Method" sheetId="13" state="visible" r:id="rId13"/>
    <sheet xmlns:r="http://schemas.openxmlformats.org/officeDocument/2006/relationships" name="Change_Log" sheetId="14" state="visible" r:id="rId14"/>
  </sheets>
  <definedNames>
    <definedName name="_xlnm._FilterDatabase" localSheetId="1" hidden="1">'Source_Manifest'!$A$1:$I$19</definedName>
    <definedName name="_xlnm._FilterDatabase" localSheetId="2" hidden="1">'Executive_Summary'!$A$3:$D$18</definedName>
    <definedName name="_xlnm._FilterDatabase" localSheetId="3" hidden="1">'Member_Reconciliation'!$A$1:$K$8</definedName>
    <definedName name="_xlnm._FilterDatabase" localSheetId="4" hidden="1">'Task_Assignment'!$A$1:$P$182</definedName>
    <definedName name="_xlnm._FilterDatabase" localSheetId="5" hidden="1">'Contribution_Log'!$A$1:$N$45</definedName>
    <definedName name="_xlnm._FilterDatabase" localSheetId="6" hidden="1">'Module_Completeness'!$A$1:$L$50</definedName>
    <definedName name="_xlnm._FilterDatabase" localSheetId="7" hidden="1">'Test_Evidence'!$A$1:$M$14</definedName>
    <definedName name="_xlnm._FilterDatabase" localSheetId="8" hidden="1">'Gap_Register'!$A$1:$N$9</definedName>
    <definedName name="_xlnm._FilterDatabase" localSheetId="9" hidden="1">'Scoring_Rubric'!$A$1:$L$12</definedName>
    <definedName name="_xlnm._FilterDatabase" localSheetId="10" hidden="1">'Member_Scorecard'!$A$1:$P$7</definedName>
    <definedName name="_xlnm._FilterDatabase" localSheetId="11" hidden="1">'Conflict_Register'!$A$1:$G$11</definedName>
    <definedName name="_xlnm._FilterDatabase" localSheetId="12" hidden="1">'Verification_Method'!$A$1:$E$6</definedName>
    <definedName name="_xlnm._FilterDatabase" localSheetId="13" hidden="1">'Change_Log'!$A$1:$K$15</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Segoe UI"/>
      <b val="1"/>
      <color rgb="001B365D"/>
      <sz val="14"/>
    </font>
    <font>
      <name val="Segoe UI"/>
      <i val="1"/>
      <color rgb="00555555"/>
      <sz val="11"/>
    </font>
    <font>
      <name val="Segoe UI"/>
      <b val="1"/>
      <color rgb="00000000"/>
      <sz val="10"/>
    </font>
    <font>
      <name val="Segoe UI"/>
      <b val="1"/>
      <color rgb="00FFFFFF"/>
      <sz val="10"/>
    </font>
    <font>
      <name val="Segoe UI"/>
      <color rgb="00000000"/>
      <sz val="10"/>
    </font>
  </fonts>
  <fills count="7">
    <fill>
      <patternFill/>
    </fill>
    <fill>
      <patternFill patternType="gray125"/>
    </fill>
    <fill>
      <patternFill patternType="solid">
        <fgColor rgb="001B365D"/>
        <bgColor rgb="001B365D"/>
      </patternFill>
    </fill>
    <fill>
      <patternFill patternType="solid">
        <fgColor rgb="00F9FAFB"/>
        <bgColor rgb="00F9FAFB"/>
      </patternFill>
    </fill>
    <fill>
      <patternFill patternType="solid">
        <fgColor rgb="00D1FAE5"/>
        <bgColor rgb="00D1FAE5"/>
      </patternFill>
    </fill>
    <fill>
      <patternFill patternType="solid">
        <fgColor rgb="00FEF3C7"/>
        <bgColor rgb="00FEF3C7"/>
      </patternFill>
    </fill>
    <fill>
      <patternFill patternType="solid">
        <fgColor rgb="00E8EEF5"/>
        <bgColor rgb="00E8EEF5"/>
      </patternFill>
    </fill>
  </fills>
  <borders count="4">
    <border>
      <left/>
      <right/>
      <top/>
      <bottom/>
      <diagonal/>
    </border>
    <border>
      <left style="thin">
        <color rgb="00CCCCCC"/>
      </left>
      <right style="thin">
        <color rgb="00CCCCCC"/>
      </right>
      <top style="medium">
        <color rgb="001B365D"/>
      </top>
      <bottom style="medium">
        <color rgb="001B365D"/>
      </bottom>
    </border>
    <border>
      <left style="thin">
        <color rgb="00CCCCCC"/>
      </left>
      <right style="thin">
        <color rgb="00CCCCCC"/>
      </right>
      <top style="thin">
        <color rgb="00CCCCCC"/>
      </top>
      <bottom style="thin">
        <color rgb="00CCCCCC"/>
      </bottom>
    </border>
    <border>
      <top style="medium">
        <color rgb="001B365D"/>
      </top>
      <bottom style="medium">
        <color rgb="001B365D"/>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2" applyAlignment="1" pivotButton="0" quotePrefix="0" xfId="0">
      <alignment horizontal="left" vertical="center"/>
    </xf>
    <xf numFmtId="0" fontId="5" fillId="0" borderId="2" applyAlignment="1" pivotButton="0" quotePrefix="0" xfId="0">
      <alignment horizontal="left" vertical="center"/>
    </xf>
    <xf numFmtId="4" fontId="5" fillId="3" borderId="2" applyAlignment="1" pivotButton="0" quotePrefix="0" xfId="0">
      <alignment horizontal="right" vertical="center"/>
    </xf>
    <xf numFmtId="0" fontId="5" fillId="4" borderId="2" applyAlignment="1" pivotButton="0" quotePrefix="0" xfId="0">
      <alignment horizontal="center" vertical="center"/>
    </xf>
    <xf numFmtId="4" fontId="5" fillId="0" borderId="2" applyAlignment="1" pivotButton="0" quotePrefix="0" xfId="0">
      <alignment horizontal="right" vertical="center"/>
    </xf>
    <xf numFmtId="4" fontId="5" fillId="0" borderId="2" applyAlignment="1" pivotButton="0" quotePrefix="0" xfId="0">
      <alignment horizontal="left" vertical="center"/>
    </xf>
    <xf numFmtId="0" fontId="5" fillId="5" borderId="2" applyAlignment="1" pivotButton="0" quotePrefix="0" xfId="0">
      <alignment horizontal="center" vertical="center"/>
    </xf>
    <xf numFmtId="3" fontId="5" fillId="3" borderId="2" applyAlignment="1" pivotButton="0" quotePrefix="0" xfId="0">
      <alignment horizontal="right" vertical="center"/>
    </xf>
    <xf numFmtId="3" fontId="5" fillId="0" borderId="2" applyAlignment="1" pivotButton="0" quotePrefix="0" xfId="0">
      <alignment horizontal="right" vertical="center"/>
    </xf>
    <xf numFmtId="0" fontId="5" fillId="0" borderId="2" applyAlignment="1" pivotButton="0" quotePrefix="0" xfId="0">
      <alignment horizontal="center" vertical="center"/>
    </xf>
    <xf numFmtId="164" fontId="5" fillId="3" borderId="2" applyAlignment="1" pivotButton="0" quotePrefix="0" xfId="0">
      <alignment horizontal="right" vertical="center"/>
    </xf>
    <xf numFmtId="165" fontId="5" fillId="3" borderId="2" applyAlignment="1" pivotButton="0" quotePrefix="0" xfId="0">
      <alignment horizontal="right" vertical="center"/>
    </xf>
    <xf numFmtId="164" fontId="5" fillId="0" borderId="2" applyAlignment="1" pivotButton="0" quotePrefix="0" xfId="0">
      <alignment horizontal="right" vertical="center"/>
    </xf>
    <xf numFmtId="165" fontId="5" fillId="0" borderId="2" applyAlignment="1" pivotButton="0" quotePrefix="0" xfId="0">
      <alignment horizontal="right" vertical="center"/>
    </xf>
    <xf numFmtId="0" fontId="3" fillId="6" borderId="3" pivotButton="0" quotePrefix="0" xfId="0"/>
    <xf numFmtId="164" fontId="3" fillId="6" borderId="3" pivotButton="0" quotePrefix="0" xfId="0"/>
    <xf numFmtId="0" fontId="0" fillId="6" borderId="3" pivotButton="0" quotePrefix="0" xfId="0"/>
    <xf numFmtId="2" fontId="3" fillId="6" borderId="3" pivotButton="0" quotePrefix="0" xfId="0"/>
    <xf numFmtId="2" fontId="5" fillId="3" borderId="2" applyAlignment="1" pivotButton="0" quotePrefix="0" xfId="0">
      <alignment horizontal="right" vertical="center"/>
    </xf>
    <xf numFmtId="0" fontId="5" fillId="3" borderId="2" applyAlignment="1" pivotButton="0" quotePrefix="0" xfId="0">
      <alignment horizontal="right" vertical="center"/>
    </xf>
    <xf numFmtId="2" fontId="5" fillId="0" borderId="2" applyAlignment="1" pivotButton="0" quotePrefix="0" xfId="0">
      <alignment horizontal="right" vertical="center"/>
    </xf>
    <xf numFmtId="0" fontId="5" fillId="0" borderId="2" applyAlignment="1" pivotButton="0" quotePrefix="0" xfId="0">
      <alignment horizontal="right" vertical="center"/>
    </xf>
    <xf numFmtId="165" fontId="3" fillId="6" borderId="3" pivotButton="0" quotePrefix="0" xfId="0"/>
    <xf numFmtId="0" fontId="4" fillId="2" borderId="0" pivotButton="0" quotePrefix="0" xfId="0"/>
    <xf numFmtId="0" fontId="0" fillId="3"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1" workbookViewId="0">
      <selection activeCell="A1" sqref="A1"/>
    </sheetView>
  </sheetViews>
  <sheetFormatPr baseColWidth="8" defaultRowHeight="15"/>
  <cols>
    <col width="30" customWidth="1" min="1" max="1"/>
    <col width="95" customWidth="1" min="2" max="2"/>
  </cols>
  <sheetData>
    <row r="1">
      <c r="A1" s="1" t="inlineStr">
        <is>
          <t>HSWRMS — BÁO CÁO ĐỐI SOÁT BẰNG CHỨNG &amp; ĐÁNH GIÁ ĐÓNG GÓP (TARGETED CORRECTION)</t>
        </is>
      </c>
    </row>
    <row r="2">
      <c r="A2" s="2" t="inlineStr">
        <is>
          <t>Hệ thống Quản lý Khu Nghỉ dưỡng Trị liệu HeavenStay Wellness Resort Management System (ISP392_IS2005_G1)</t>
        </is>
      </c>
    </row>
    <row r="4">
      <c r="A4" s="3" t="inlineStr">
        <is>
          <t>1. MỤC ĐÍCH &amp; PHẠM VI WORKBOOK NÀY</t>
        </is>
      </c>
    </row>
    <row r="5">
      <c r="A5" t="inlineStr">
        <is>
          <t>Workbook này là sản phẩm đối soát và gia cố bằng chứng, đã được rà soát và hiệu chỉnh mục tiêu (Targeted Correction) theo các chuẩn mực kiểm toán nghiêm ngặt.</t>
        </is>
      </c>
    </row>
    <row r="6">
      <c r="A6" t="inlineStr">
        <is>
          <t>Tất cả dữ liệu được xác thực đa chiều giữa: Kế hoạch WBS gốc (Task_Project_G1_IS2005.xlsx), nhật ký tích hợp Git Phase 117-118, mã nguồn thực tế và kết quả kiểm thử.</t>
        </is>
      </c>
    </row>
    <row r="8">
      <c r="A8" s="3" t="inlineStr">
        <is>
          <t>2. CÁC NỘI DUNG HIỆU CHỈNH MỤC TIÊU ĐÃ HOÀN TẤT</t>
        </is>
      </c>
    </row>
    <row r="9">
      <c r="A9" t="inlineStr">
        <is>
          <t>- Tính điểm trực tiếp từ 11 tiêu chí: Điểm tổng kết 6 sinh viên được tính trực tiếp từ 11 tiêu chí và trọng số chuẩn (=SUMPRODUCT(C2:C12, E2:E12)) thay vì phụ thuộc vào làm tròn nhóm.</t>
        </is>
      </c>
    </row>
    <row r="10">
      <c r="A10" t="inlineStr">
        <is>
          <t>- Đồng bộ điểm số 100%: Lê Đức Hoàng: 9.17 | Nguyễn Gia Đạt: 8.86 | Nguyễn Tất Đạt: 9.84 | Vũ Phương Thảo: 9.24 | Tăng Xuân Hòa: 9.09 | Phạm Thành Vinh: 8.94 (TB: 9.19).</t>
        </is>
      </c>
    </row>
    <row r="11">
      <c r="A11" t="inlineStr">
        <is>
          <t>- Làm rõ 180 tác vụ WBS vs 181 dòng Excel: 180 dòng WBS nghiệp vụ (dòng 4-183) + 1 dòng ghi chú thời hạn thi cử (dòng 185: NOTE) = 181 dòng trong bảng đối soát.</t>
        </is>
      </c>
    </row>
    <row r="12">
      <c r="A12" t="inlineStr">
        <is>
          <t>- Minh bạch kiểm thử 536 bài: 526 pass, 10 skip (H2 MSSQLServer mode); chênh lệch 10 bài giữa chi tiết phân hệ (516 pass) và tổng thể (526 pass) được ghi nhận là UNRESOLVED_BREAKDOWN_VARIANCE không tự tạo số liệu.</t>
        </is>
      </c>
    </row>
    <row r="13">
      <c r="A13" t="inlineStr">
        <is>
          <t>- Khôi phục 100% MSSV: Khôi phục đầy đủ 6 MSSV chính thức từ bảng kế hoạch gốc; chuẩn hóa họ Tăng / Phạm kèm alias ghi nhận Trần / Phan; tách biệt hoàn toàn Giảng viên.</t>
        </is>
      </c>
    </row>
    <row r="14">
      <c r="A14" t="inlineStr">
        <is>
          <t>- Ghi chú công thức: Công thức Excel được viết dạng tiêu chuẩn; phần mềm bảng tính (Excel/Calc/Sheets) sẽ tự động đánh giá khi mở tệp. Nếu đọc qua openpyxl(data_only=True) trước khi mở Excel, giá trị công thức chưa cache sẽ trả về None.</t>
        </is>
      </c>
    </row>
    <row r="16">
      <c r="A16" s="3" t="inlineStr">
        <is>
          <t>3. DANH MỤC 14 TRANG TÍNH (SHEETS)</t>
        </is>
      </c>
    </row>
    <row r="17">
      <c r="A17" s="3" t="inlineStr">
        <is>
          <t>Sheet 01: Read_Me</t>
        </is>
      </c>
      <c r="B17" t="inlineStr">
        <is>
          <t>Trang hướng dẫn, mục đích, phạm vi, giải trình hiệu chỉnh mục tiêu và lưu ý công thức.</t>
        </is>
      </c>
    </row>
    <row r="18">
      <c r="A18" s="3" t="inlineStr">
        <is>
          <t>Sheet 02: Source_Manifest</t>
        </is>
      </c>
      <c r="B18" t="inlineStr">
        <is>
          <t>Bảng kiểm kê 18 tệp nguồn, kích thước, số dòng và mã băm SHA-256 bất biến.</t>
        </is>
      </c>
    </row>
    <row r="19">
      <c r="A19" s="3" t="inlineStr">
        <is>
          <t>Sheet 03: Executive_Summary</t>
        </is>
      </c>
      <c r="B19" t="inlineStr">
        <is>
          <t>Tóm tắt điều hành dự án: nhân sự, nhánh Git, chỉ số kiểm thử, CSDL và các rủi ro tồn đọng.</t>
        </is>
      </c>
    </row>
    <row r="20">
      <c r="A20" s="3" t="inlineStr">
        <is>
          <t>Sheet 04: Member_Reconciliation</t>
        </is>
      </c>
      <c r="B20" t="inlineStr">
        <is>
          <t>Bảng đối soát danh tính 6 sinh viên và 1 giảng viên với đầy đủ MSSV và bằng chứng.</t>
        </is>
      </c>
    </row>
    <row r="21">
      <c r="A21" s="3" t="inlineStr">
        <is>
          <t>Sheet 05: Task_Assignment</t>
        </is>
      </c>
      <c r="B21" t="inlineStr">
        <is>
          <t>Đối soát 180 tác vụ WBS + 1 dòng footnote dòng 185; phân tách trạng thái và đánh giá hoàn thành.</t>
        </is>
      </c>
    </row>
    <row r="22">
      <c r="A22" s="3" t="inlineStr">
        <is>
          <t>Sheet 06: Contribution_Log</t>
        </is>
      </c>
      <c r="B22" t="inlineStr">
        <is>
          <t>Nhật ký 44 đóng góp kỹ thuật với trạng thái xác minh và độ tin cậy được hiệu chỉnh.</t>
        </is>
      </c>
    </row>
    <row r="23">
      <c r="A23" s="3" t="inlineStr">
        <is>
          <t>Sheet 07: Module_Completeness</t>
        </is>
      </c>
      <c r="B23" t="inlineStr">
        <is>
          <t>Bảng kiểm kê độ hoàn thiện 49 cấu phần kỹ thuật (tương ứng 27 Use Case nghiệp vụ).</t>
        </is>
      </c>
    </row>
    <row r="24">
      <c r="A24" s="3" t="inlineStr">
        <is>
          <t>Sheet 08: Test_Evidence</t>
        </is>
      </c>
      <c r="B24" t="inlineStr">
        <is>
          <t>Bằng chứng kiểm thử; ghi nhận rõ tổng 536 và khoảng chênh lệch UNRESOLVED_BREAKDOWN_VARIANCE.</t>
        </is>
      </c>
    </row>
    <row r="25">
      <c r="A25" s="3" t="inlineStr">
        <is>
          <t>Sheet 09: Gap_Register</t>
        </is>
      </c>
      <c r="B25" t="inlineStr">
        <is>
          <t>Sổ theo dõi 8 khoảng trống kỹ thuật (GAP-01 đến GAP-08) cần hoàn thiện trước go-live.</t>
        </is>
      </c>
    </row>
    <row r="26">
      <c r="A26" s="3" t="inlineStr">
        <is>
          <t>Sheet 10: Scoring_Rubric</t>
        </is>
      </c>
      <c r="B26" t="inlineStr">
        <is>
          <t>Khung tiêu chí đánh giá năng lực 11 tiêu chí (TC-01 đến TC-11) với tổng trọng số 100%.</t>
        </is>
      </c>
    </row>
    <row r="27">
      <c r="A27" s="3" t="inlineStr">
        <is>
          <t>Sheet 11: Member_Scorecard</t>
        </is>
      </c>
      <c r="B27" t="inlineStr">
        <is>
          <t>Bảng điểm tổng hợp của 6 sinh viên tính bằng công thức SUMPRODUCT trực tiếp từ 11 tiêu chí.</t>
        </is>
      </c>
    </row>
    <row r="28">
      <c r="A28" s="3" t="inlineStr">
        <is>
          <t>Sheet 12: Conflict_Register</t>
        </is>
      </c>
      <c r="B28" t="inlineStr">
        <is>
          <t>Sổ ghi nhận chi tiết các bất đồng dữ liệu lịch sử và giải pháp chuẩn hóa.</t>
        </is>
      </c>
    </row>
    <row r="29">
      <c r="A29" s="3" t="inlineStr">
        <is>
          <t>Sheet 13: Verification_Method</t>
        </is>
      </c>
      <c r="B29" t="inlineStr">
        <is>
          <t>Phương pháp luận kiểm toán, phân cấp độ bằng chứng và quy trình đối soát.</t>
        </is>
      </c>
    </row>
    <row r="30">
      <c r="A30" s="3" t="inlineStr">
        <is>
          <t>Sheet 14: Change_Log</t>
        </is>
      </c>
      <c r="B30" t="inlineStr">
        <is>
          <t>Nhật ký các thay đổi trọng yếu so với tài liệu audit ban đầu (Correction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1" workbookViewId="0">
      <pane ySplit="1" topLeftCell="A2" activePane="bottomLeft" state="frozen"/>
      <selection pane="bottomLeft" activeCell="A1" sqref="A1"/>
    </sheetView>
  </sheetViews>
  <sheetFormatPr baseColWidth="8" defaultRowHeight="15"/>
  <cols>
    <col width="12" customWidth="1" min="1" max="1"/>
    <col width="52" customWidth="1" min="2" max="2"/>
    <col width="20" customWidth="1" min="3" max="3"/>
    <col width="18" customWidth="1" min="4" max="4"/>
    <col width="13" customWidth="1" min="5" max="5"/>
    <col width="52" customWidth="1" min="6" max="6"/>
    <col width="52" customWidth="1" min="7" max="7"/>
    <col width="25" customWidth="1" min="8" max="8"/>
    <col width="52" customWidth="1" min="9" max="9"/>
  </cols>
  <sheetData>
    <row r="1" ht="28" customHeight="1">
      <c r="A1" s="4" t="inlineStr">
        <is>
          <t>File_ID</t>
        </is>
      </c>
      <c r="B1" s="4" t="inlineStr">
        <is>
          <t>Relative_Path</t>
        </is>
      </c>
      <c r="C1" s="4" t="inlineStr">
        <is>
          <t>File_Type</t>
        </is>
      </c>
      <c r="D1" s="4" t="inlineStr">
        <is>
          <t>File_Size_Bytes</t>
        </is>
      </c>
      <c r="E1" s="4" t="inlineStr">
        <is>
          <t>Line_Count</t>
        </is>
      </c>
      <c r="F1" s="4" t="inlineStr">
        <is>
          <t>Sheet_Info</t>
        </is>
      </c>
      <c r="G1" s="4" t="inlineStr">
        <is>
          <t>SHA256_Hash</t>
        </is>
      </c>
      <c r="H1" s="4" t="inlineStr">
        <is>
          <t>Authority_Level</t>
        </is>
      </c>
      <c r="I1" s="4" t="inlineStr">
        <is>
          <t>Description</t>
        </is>
      </c>
    </row>
    <row r="2" ht="20" customHeight="1">
      <c r="A2" s="5" t="inlineStr">
        <is>
          <t>SRC-01</t>
        </is>
      </c>
      <c r="B2" s="5" t="inlineStr">
        <is>
          <t>06_Reports/audit-output/01_Executive_Summary.csv</t>
        </is>
      </c>
      <c r="C2" s="5" t="inlineStr">
        <is>
          <t>Audit CSV</t>
        </is>
      </c>
      <c r="D2" s="5" t="inlineStr">
        <is>
          <t>3998</t>
        </is>
      </c>
      <c r="E2" s="5" t="inlineStr">
        <is>
          <t>17</t>
        </is>
      </c>
      <c r="F2" s="5" t="inlineStr">
        <is>
          <t>N/A</t>
        </is>
      </c>
      <c r="G2" s="5" t="inlineStr">
        <is>
          <t>7b6cfc7927dfb9da226c3e76545a0483e6bf176ef14e4bb5901cfebe27865b15</t>
        </is>
      </c>
      <c r="H2" s="5" t="inlineStr">
        <is>
          <t>DERIVED_AUDIT_EVIDENCE</t>
        </is>
      </c>
      <c r="I2" s="5" t="inlineStr">
        <is>
          <t>Original executive summary of module integration status</t>
        </is>
      </c>
    </row>
    <row r="3" ht="20" customHeight="1">
      <c r="A3" s="6" t="inlineStr">
        <is>
          <t>SRC-02</t>
        </is>
      </c>
      <c r="B3" s="6" t="inlineStr">
        <is>
          <t>06_Reports/audit-output/02_Member_Summary.csv</t>
        </is>
      </c>
      <c r="C3" s="6" t="inlineStr">
        <is>
          <t>Audit CSV</t>
        </is>
      </c>
      <c r="D3" s="6" t="inlineStr">
        <is>
          <t>5270</t>
        </is>
      </c>
      <c r="E3" s="6" t="inlineStr">
        <is>
          <t>9</t>
        </is>
      </c>
      <c r="F3" s="6" t="inlineStr">
        <is>
          <t>N/A</t>
        </is>
      </c>
      <c r="G3" s="6" t="inlineStr">
        <is>
          <t>45e068882c4cae903ad2cc8821e328721e4469c864207f4c892e8afd2c2383ae</t>
        </is>
      </c>
      <c r="H3" s="6" t="inlineStr">
        <is>
          <t>DERIVED_AUDIT_EVIDENCE</t>
        </is>
      </c>
      <c r="I3" s="6" t="inlineStr">
        <is>
          <t>Original per-member evaluation and contribution summary</t>
        </is>
      </c>
    </row>
    <row r="4" ht="20" customHeight="1">
      <c r="A4" s="5" t="inlineStr">
        <is>
          <t>SRC-03</t>
        </is>
      </c>
      <c r="B4" s="5" t="inlineStr">
        <is>
          <t>06_Reports/audit-output/03_Contribution_Log.csv</t>
        </is>
      </c>
      <c r="C4" s="5" t="inlineStr">
        <is>
          <t>Audit CSV</t>
        </is>
      </c>
      <c r="D4" s="5" t="inlineStr">
        <is>
          <t>15285</t>
        </is>
      </c>
      <c r="E4" s="5" t="inlineStr">
        <is>
          <t>46</t>
        </is>
      </c>
      <c r="F4" s="5" t="inlineStr">
        <is>
          <t>N/A</t>
        </is>
      </c>
      <c r="G4" s="5" t="inlineStr">
        <is>
          <t>9aafd197a99821df3d5d7da2498a743536b17c41e9d2ee567b87fe08cf2c6213</t>
        </is>
      </c>
      <c r="H4" s="5" t="inlineStr">
        <is>
          <t>DERIVED_AUDIT_EVIDENCE</t>
        </is>
      </c>
      <c r="I4" s="5" t="inlineStr">
        <is>
          <t>Original granular 44 contribution records</t>
        </is>
      </c>
    </row>
    <row r="5" ht="20" customHeight="1">
      <c r="A5" s="6" t="inlineStr">
        <is>
          <t>SRC-04</t>
        </is>
      </c>
      <c r="B5" s="6" t="inlineStr">
        <is>
          <t>06_Reports/audit-output/04_Module_Completeness.csv</t>
        </is>
      </c>
      <c r="C5" s="6" t="inlineStr">
        <is>
          <t>Audit CSV</t>
        </is>
      </c>
      <c r="D5" s="6" t="inlineStr">
        <is>
          <t>15447</t>
        </is>
      </c>
      <c r="E5" s="6" t="inlineStr">
        <is>
          <t>51</t>
        </is>
      </c>
      <c r="F5" s="6" t="inlineStr">
        <is>
          <t>N/A</t>
        </is>
      </c>
      <c r="G5" s="6" t="inlineStr">
        <is>
          <t>7f7376ade69622769d6cf72ea50575aa3269fb36344375ed79102b6d9d7f908a</t>
        </is>
      </c>
      <c r="H5" s="6" t="inlineStr">
        <is>
          <t>DERIVED_AUDIT_EVIDENCE</t>
        </is>
      </c>
      <c r="I5" s="6" t="inlineStr">
        <is>
          <t>Original 49 technical feature completeness records across M1-M6 + INFRA</t>
        </is>
      </c>
    </row>
    <row r="6" ht="20" customHeight="1">
      <c r="A6" s="5" t="inlineStr">
        <is>
          <t>SRC-05</t>
        </is>
      </c>
      <c r="B6" s="5" t="inlineStr">
        <is>
          <t>06_Reports/audit-output/05_Branch_Integration.csv</t>
        </is>
      </c>
      <c r="C6" s="5" t="inlineStr">
        <is>
          <t>Audit CSV</t>
        </is>
      </c>
      <c r="D6" s="5" t="inlineStr">
        <is>
          <t>3708</t>
        </is>
      </c>
      <c r="E6" s="5" t="inlineStr">
        <is>
          <t>10</t>
        </is>
      </c>
      <c r="F6" s="5" t="inlineStr">
        <is>
          <t>N/A</t>
        </is>
      </c>
      <c r="G6" s="5" t="inlineStr">
        <is>
          <t>2200a0f0e0d143964b079864ea424129cb8ce910c07503567fdfbf146fdcaf1a</t>
        </is>
      </c>
      <c r="H6" s="5" t="inlineStr">
        <is>
          <t>DERIVED_AUDIT_EVIDENCE</t>
        </is>
      </c>
      <c r="I6" s="5" t="inlineStr">
        <is>
          <t>Original git branch integration tracking</t>
        </is>
      </c>
    </row>
    <row r="7" ht="20" customHeight="1">
      <c r="A7" s="6" t="inlineStr">
        <is>
          <t>SRC-06</t>
        </is>
      </c>
      <c r="B7" s="6" t="inlineStr">
        <is>
          <t>06_Reports/audit-output/06_Test_Evidence.csv</t>
        </is>
      </c>
      <c r="C7" s="6" t="inlineStr">
        <is>
          <t>Audit CSV</t>
        </is>
      </c>
      <c r="D7" s="6" t="inlineStr">
        <is>
          <t>3623</t>
        </is>
      </c>
      <c r="E7" s="6" t="inlineStr">
        <is>
          <t>14</t>
        </is>
      </c>
      <c r="F7" s="6" t="inlineStr">
        <is>
          <t>N/A</t>
        </is>
      </c>
      <c r="G7" s="6" t="inlineStr">
        <is>
          <t>f348d52a67567f161e666b68ec3e83b90ea663be0beb787663b181a7a00898d0</t>
        </is>
      </c>
      <c r="H7" s="6" t="inlineStr">
        <is>
          <t>DERIVED_AUDIT_EVIDENCE</t>
        </is>
      </c>
      <c r="I7" s="6" t="inlineStr">
        <is>
          <t>Original 12 test execution and evidence records</t>
        </is>
      </c>
    </row>
    <row r="8" ht="20" customHeight="1">
      <c r="A8" s="5" t="inlineStr">
        <is>
          <t>SRC-07</t>
        </is>
      </c>
      <c r="B8" s="5" t="inlineStr">
        <is>
          <t>06_Reports/audit-output/07_Gap_Register.csv</t>
        </is>
      </c>
      <c r="C8" s="5" t="inlineStr">
        <is>
          <t>Audit CSV</t>
        </is>
      </c>
      <c r="D8" s="5" t="inlineStr">
        <is>
          <t>3898</t>
        </is>
      </c>
      <c r="E8" s="5" t="inlineStr">
        <is>
          <t>10</t>
        </is>
      </c>
      <c r="F8" s="5" t="inlineStr">
        <is>
          <t>N/A</t>
        </is>
      </c>
      <c r="G8" s="5" t="inlineStr">
        <is>
          <t>274b1db692c15b72a2b0c76bffea7dda3d7f92851538a34ac74e056c900afe92</t>
        </is>
      </c>
      <c r="H8" s="5" t="inlineStr">
        <is>
          <t>DERIVED_AUDIT_EVIDENCE</t>
        </is>
      </c>
      <c r="I8" s="5" t="inlineStr">
        <is>
          <t>Original 8 technical gaps and defect risks</t>
        </is>
      </c>
    </row>
    <row r="9" ht="20" customHeight="1">
      <c r="A9" s="6" t="inlineStr">
        <is>
          <t>SRC-08</t>
        </is>
      </c>
      <c r="B9" s="6" t="inlineStr">
        <is>
          <t>06_Reports/audit-output/08_Action_Plan.csv</t>
        </is>
      </c>
      <c r="C9" s="6" t="inlineStr">
        <is>
          <t>Audit CSV</t>
        </is>
      </c>
      <c r="D9" s="6" t="inlineStr">
        <is>
          <t>2488</t>
        </is>
      </c>
      <c r="E9" s="6" t="inlineStr">
        <is>
          <t>10</t>
        </is>
      </c>
      <c r="F9" s="6" t="inlineStr">
        <is>
          <t>N/A</t>
        </is>
      </c>
      <c r="G9" s="6" t="inlineStr">
        <is>
          <t>5acb9d4473e25633c0f57e0b3022798f94729f03c6aff070437cee689b17be29</t>
        </is>
      </c>
      <c r="H9" s="6" t="inlineStr">
        <is>
          <t>DERIVED_AUDIT_EVIDENCE</t>
        </is>
      </c>
      <c r="I9" s="6" t="inlineStr">
        <is>
          <t>Original 8 post-merge remediation action items</t>
        </is>
      </c>
    </row>
    <row r="10" ht="20" customHeight="1">
      <c r="A10" s="5" t="inlineStr">
        <is>
          <t>SRC-09</t>
        </is>
      </c>
      <c r="B10" s="5" t="inlineStr">
        <is>
          <t>06_Reports/audit-output/09_Evidence_Index.csv</t>
        </is>
      </c>
      <c r="C10" s="5" t="inlineStr">
        <is>
          <t>Audit CSV</t>
        </is>
      </c>
      <c r="D10" s="5" t="inlineStr">
        <is>
          <t>8457</t>
        </is>
      </c>
      <c r="E10" s="5" t="inlineStr">
        <is>
          <t>35</t>
        </is>
      </c>
      <c r="F10" s="5" t="inlineStr">
        <is>
          <t>N/A</t>
        </is>
      </c>
      <c r="G10" s="5" t="inlineStr">
        <is>
          <t>3bc61b1ce9e36750200a63c6d95440b5f36ea212ee960dfd693b24e8cddd4b74</t>
        </is>
      </c>
      <c r="H10" s="5" t="inlineStr">
        <is>
          <t>DERIVED_AUDIT_EVIDENCE</t>
        </is>
      </c>
      <c r="I10" s="5" t="inlineStr">
        <is>
          <t>Original index of 35 evidence artifacts</t>
        </is>
      </c>
    </row>
    <row r="11" ht="20" customHeight="1">
      <c r="A11" s="6" t="inlineStr">
        <is>
          <t>SRC-10</t>
        </is>
      </c>
      <c r="B11" s="6" t="inlineStr">
        <is>
          <t>06_Reports/audit-output/10_Identity_Mapping.csv</t>
        </is>
      </c>
      <c r="C11" s="6" t="inlineStr">
        <is>
          <t>Audit CSV</t>
        </is>
      </c>
      <c r="D11" s="6" t="inlineStr">
        <is>
          <t>1899</t>
        </is>
      </c>
      <c r="E11" s="6" t="inlineStr">
        <is>
          <t>9</t>
        </is>
      </c>
      <c r="F11" s="6" t="inlineStr">
        <is>
          <t>N/A</t>
        </is>
      </c>
      <c r="G11" s="6" t="inlineStr">
        <is>
          <t>984b0caf8679ddd53579fda34d1f8c03a1f8a99d483bee0554585b859418f1ed</t>
        </is>
      </c>
      <c r="H11" s="6" t="inlineStr">
        <is>
          <t>DERIVED_AUDIT_EVIDENCE</t>
        </is>
      </c>
      <c r="I11" s="6" t="inlineStr">
        <is>
          <t>Original git alias to human identity mapping (had 3 UNKNOWN Student IDs)</t>
        </is>
      </c>
    </row>
    <row r="12" ht="20" customHeight="1">
      <c r="A12" s="5" t="inlineStr">
        <is>
          <t>SRC-11</t>
        </is>
      </c>
      <c r="B12" s="5" t="inlineStr">
        <is>
          <t>06_Reports/audit-output/HSWRMS_BAO_CAO_TONG_KET_DU_AN.md</t>
        </is>
      </c>
      <c r="C12" s="5" t="inlineStr">
        <is>
          <t>Audit Report</t>
        </is>
      </c>
      <c r="D12" s="5" t="inlineStr">
        <is>
          <t>51685</t>
        </is>
      </c>
      <c r="E12" s="5" t="inlineStr">
        <is>
          <t>254</t>
        </is>
      </c>
      <c r="F12" s="5" t="inlineStr">
        <is>
          <t>N/A</t>
        </is>
      </c>
      <c r="G12" s="5" t="inlineStr">
        <is>
          <t>9eb5c14406e0748b720818cf306914568b8442d9a0b812a5f2914345d31c847c</t>
        </is>
      </c>
      <c r="H12" s="5" t="inlineStr">
        <is>
          <t>DERIVED_AUDIT_EVIDENCE</t>
        </is>
      </c>
      <c r="I12" s="5" t="inlineStr">
        <is>
          <t>Comprehensive Vietnamese technical project audit report</t>
        </is>
      </c>
    </row>
    <row r="13" ht="20" customHeight="1">
      <c r="A13" s="6" t="inlineStr">
        <is>
          <t>SRC-12</t>
        </is>
      </c>
      <c r="B13" s="6" t="inlineStr">
        <is>
          <t>06_Reports/audit-output/HSWRMS_DANH_GIA_DONG_GOP_THANH_VIEN.xlsx</t>
        </is>
      </c>
      <c r="C13" s="6" t="inlineStr">
        <is>
          <t>Audit Workbook</t>
        </is>
      </c>
      <c r="D13" s="6" t="inlineStr">
        <is>
          <t>49203</t>
        </is>
      </c>
      <c r="E13" s="6" t="inlineStr">
        <is>
          <t>N/A</t>
        </is>
      </c>
      <c r="F13" s="6" t="inlineStr">
        <is>
          <t>11 sheets (Tong_Quan, Thanh_Vien, Dong_Gop_Chi_Tiet...)</t>
        </is>
      </c>
      <c r="G13" s="6" t="inlineStr">
        <is>
          <t>3a4a18034fbabe2962d0a5e4edc14cf746d3c7608461be9cf9ca99d315d83eed</t>
        </is>
      </c>
      <c r="H13" s="6" t="inlineStr">
        <is>
          <t>DERIVED_AUDIT_EVIDENCE</t>
        </is>
      </c>
      <c r="I13" s="6" t="inlineStr">
        <is>
          <t>Original 11-sheet evaluation workbook</t>
        </is>
      </c>
    </row>
    <row r="14" ht="20" customHeight="1">
      <c r="A14" s="5" t="inlineStr">
        <is>
          <t>SRC-13</t>
        </is>
      </c>
      <c r="B14" s="5" t="inlineStr">
        <is>
          <t>06_Reports/audit-output/TIN_NHAN_ZALO_TONG_KET_HSWRMS.md</t>
        </is>
      </c>
      <c r="C14" s="5" t="inlineStr">
        <is>
          <t>Audit Summary</t>
        </is>
      </c>
      <c r="D14" s="5" t="inlineStr">
        <is>
          <t>10499</t>
        </is>
      </c>
      <c r="E14" s="5" t="inlineStr">
        <is>
          <t>114</t>
        </is>
      </c>
      <c r="F14" s="5" t="inlineStr">
        <is>
          <t>N/A</t>
        </is>
      </c>
      <c r="G14" s="5" t="inlineStr">
        <is>
          <t>f8c6242d273b553464f6057bdb754264507bc7f32a450fc4f72cdce08dfd126b</t>
        </is>
      </c>
      <c r="H14" s="5" t="inlineStr">
        <is>
          <t>DERIVED_AUDIT_EVIDENCE</t>
        </is>
      </c>
      <c r="I14" s="5" t="inlineStr">
        <is>
          <t>Original Vietnamese Zalo announcement draft</t>
        </is>
      </c>
    </row>
    <row r="15" ht="20" customHeight="1">
      <c r="A15" s="6" t="inlineStr">
        <is>
          <t>SRC-14</t>
        </is>
      </c>
      <c r="B15" s="6" t="inlineStr">
        <is>
          <t>06_Reports/audit-output/HSWRMS_FULL_TEAM_AUDIT_REPORT.md</t>
        </is>
      </c>
      <c r="C15" s="6" t="inlineStr">
        <is>
          <t>Audit Report</t>
        </is>
      </c>
      <c r="D15" s="6" t="inlineStr">
        <is>
          <t>33562</t>
        </is>
      </c>
      <c r="E15" s="6" t="inlineStr">
        <is>
          <t>354</t>
        </is>
      </c>
      <c r="F15" s="6" t="inlineStr">
        <is>
          <t>N/A</t>
        </is>
      </c>
      <c r="G15" s="6" t="inlineStr">
        <is>
          <t>f8531a02175b6acfd0b54731816153e57eb3944fd27b3cc913e4fdbc3fbdb5df</t>
        </is>
      </c>
      <c r="H15" s="6" t="inlineStr">
        <is>
          <t>DERIVED_AUDIT_EVIDENCE</t>
        </is>
      </c>
      <c r="I15" s="6" t="inlineStr">
        <is>
          <t>Original full team audit technical report</t>
        </is>
      </c>
    </row>
    <row r="16" ht="20" customHeight="1">
      <c r="A16" s="5" t="inlineStr">
        <is>
          <t>SRC-15</t>
        </is>
      </c>
      <c r="B16" s="5" t="inlineStr">
        <is>
          <t>06_Reports/audit-output/AUDIT_CHECKPOINT_TRACKER.md</t>
        </is>
      </c>
      <c r="C16" s="5" t="inlineStr">
        <is>
          <t>Audit Tracking</t>
        </is>
      </c>
      <c r="D16" s="5" t="inlineStr">
        <is>
          <t>2670</t>
        </is>
      </c>
      <c r="E16" s="5" t="inlineStr">
        <is>
          <t>24</t>
        </is>
      </c>
      <c r="F16" s="5" t="inlineStr">
        <is>
          <t>N/A</t>
        </is>
      </c>
      <c r="G16" s="5" t="inlineStr">
        <is>
          <t>4e3daacdaf72c38b69d35aa4f02547c5fa6f4fd16117a38914021fbdb33aeef3</t>
        </is>
      </c>
      <c r="H16" s="5" t="inlineStr">
        <is>
          <t>DERIVED_AUDIT_EVIDENCE</t>
        </is>
      </c>
      <c r="I16" s="5" t="inlineStr">
        <is>
          <t>Phased audit execution checkpoint log</t>
        </is>
      </c>
    </row>
    <row r="17" ht="20" customHeight="1">
      <c r="A17" s="6" t="inlineStr">
        <is>
          <t>SRC-16</t>
        </is>
      </c>
      <c r="B17" s="6" t="inlineStr">
        <is>
          <t>01_Planning/Task_Project_G1_IS2005.xlsx</t>
        </is>
      </c>
      <c r="C17" s="6" t="inlineStr">
        <is>
          <t>Planning Workbook</t>
        </is>
      </c>
      <c r="D17" s="6" t="inlineStr">
        <is>
          <t>94227</t>
        </is>
      </c>
      <c r="E17" s="6" t="inlineStr">
        <is>
          <t>N/A</t>
        </is>
      </c>
      <c r="F17" s="6" t="inlineStr">
        <is>
          <t>2 sheets (Official Plan, Đánh giá thành viên...)</t>
        </is>
      </c>
      <c r="G17" s="6" t="inlineStr">
        <is>
          <t>89befc8e6187ff0710c4cc8d0f20f79699991e8de4ff5eb4151e74f5dae0a0a8</t>
        </is>
      </c>
      <c r="H17" s="6" t="inlineStr">
        <is>
          <t>AUTHORITATIVE_PLAN</t>
        </is>
      </c>
      <c r="I17" s="6" t="inlineStr">
        <is>
          <t>Authoritative team project planning workbook (Official Plan + Đánh giá thành viên)</t>
        </is>
      </c>
    </row>
    <row r="18" ht="20" customHeight="1">
      <c r="A18" s="5" t="inlineStr">
        <is>
          <t>SRC-17</t>
        </is>
      </c>
      <c r="B18" s="5" t="inlineStr">
        <is>
          <t>01_Planning/Task_Project_G1_IS2005.csv</t>
        </is>
      </c>
      <c r="C18" s="5" t="inlineStr">
        <is>
          <t>Planning CSV</t>
        </is>
      </c>
      <c r="D18" s="5" t="inlineStr">
        <is>
          <t>27531</t>
        </is>
      </c>
      <c r="E18" s="5" t="inlineStr">
        <is>
          <t>186</t>
        </is>
      </c>
      <c r="F18" s="5" t="inlineStr">
        <is>
          <t>N/A</t>
        </is>
      </c>
      <c r="G18" s="5" t="inlineStr">
        <is>
          <t>70edc787065854e5c4849a1d1d4770124e4605a649f6dd2f8799f5f2f6ef6011</t>
        </is>
      </c>
      <c r="H18" s="5" t="inlineStr">
        <is>
          <t>AUTHORITATIVE_PLAN</t>
        </is>
      </c>
      <c r="I18" s="5" t="inlineStr">
        <is>
          <t>Exported task schedule from planning phase</t>
        </is>
      </c>
    </row>
    <row r="19" ht="20" customHeight="1">
      <c r="A19" s="6" t="inlineStr">
        <is>
          <t>SRC-18</t>
        </is>
      </c>
      <c r="B19" s="6" t="inlineStr">
        <is>
          <t>06_Reports/PHASE_5.8.3.117-5.8.3.118_FULL_TEAM_MERGE_HISTORY.txt</t>
        </is>
      </c>
      <c r="C19" s="6" t="inlineStr">
        <is>
          <t>Merge History</t>
        </is>
      </c>
      <c r="D19" s="6" t="inlineStr">
        <is>
          <t>57084</t>
        </is>
      </c>
      <c r="E19" s="6" t="inlineStr">
        <is>
          <t>878</t>
        </is>
      </c>
      <c r="F19" s="6" t="inlineStr">
        <is>
          <t>N/A</t>
        </is>
      </c>
      <c r="G19" s="6" t="inlineStr">
        <is>
          <t>369c5988f80535f7fb0b2398c47984adbff8a9d553c4433027eeed602c753ed9</t>
        </is>
      </c>
      <c r="H19" s="6" t="inlineStr">
        <is>
          <t>PRIMARY_GIT_LOG</t>
        </is>
      </c>
      <c r="I19" s="6" t="inlineStr">
        <is>
          <t>Detailed git integration and conflict resolution log (Phase 117-118)</t>
        </is>
      </c>
    </row>
  </sheetData>
  <autoFilter ref="A1:I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showGridLines="1" workbookViewId="0">
      <pane ySplit="3" topLeftCell="A4" activePane="bottomLeft" state="frozen"/>
      <selection pane="bottomLeft" activeCell="A1" sqref="A1"/>
    </sheetView>
  </sheetViews>
  <sheetFormatPr baseColWidth="8" defaultRowHeight="15"/>
  <cols>
    <col width="41" customWidth="1" min="1" max="1"/>
    <col width="35" customWidth="1" min="2" max="2"/>
    <col width="32" customWidth="1" min="3" max="3"/>
    <col width="52" customWidth="1" min="4" max="4"/>
  </cols>
  <sheetData>
    <row r="1">
      <c r="A1" s="1" t="inlineStr">
        <is>
          <t>HSWRMS — BÁO CÁO TỔNG QUAN TÌNH TRẠNG DỰ ÁN SAU TÍCH HỢP M1-M6</t>
        </is>
      </c>
    </row>
    <row r="3" ht="28" customHeight="1">
      <c r="A3" s="4" t="inlineStr">
        <is>
          <t>Hạng mục đánh giá</t>
        </is>
      </c>
      <c r="B3" s="4" t="inlineStr">
        <is>
          <t>Chỉ số định lượng</t>
        </is>
      </c>
      <c r="C3" s="4" t="inlineStr">
        <is>
          <t>Trạng thái xác minh</t>
        </is>
      </c>
      <c r="D3" s="4" t="inlineStr">
        <is>
          <t>Ghi chú &amp; Giới hạn bằng chứng</t>
        </is>
      </c>
    </row>
    <row r="4" ht="20" customHeight="1">
      <c r="A4" s="5" t="inlineStr">
        <is>
          <t>Tổng số thành viên sinh viên</t>
        </is>
      </c>
      <c r="B4" s="7" t="n">
        <v>6</v>
      </c>
      <c r="C4" s="8" t="inlineStr">
        <is>
          <t>VERIFIED</t>
        </is>
      </c>
      <c r="D4" s="5" t="inlineStr">
        <is>
          <t>Khôi phục 100% đầy đủ 6 MSSV chính thức từ bảng phân công gốc</t>
        </is>
      </c>
    </row>
    <row r="5" ht="20" customHeight="1">
      <c r="A5" s="6" t="inlineStr">
        <is>
          <t>Giảng viên hướng dẫn môn học</t>
        </is>
      </c>
      <c r="B5" s="9" t="n">
        <v>1</v>
      </c>
      <c r="C5" s="8" t="inlineStr">
        <is>
          <t>VERIFIED</t>
        </is>
      </c>
      <c r="D5" s="6" t="inlineStr">
        <is>
          <t>Thầy Nguyễn Cường Mạnh (manhnc5@fe.edu.vn) - Tách riêng khỏi bảng điểm</t>
        </is>
      </c>
    </row>
    <row r="6" ht="20" customHeight="1">
      <c r="A6" s="5" t="inlineStr">
        <is>
          <t>Số nhánh Git tính năng đóng góp</t>
        </is>
      </c>
      <c r="B6" s="7" t="n">
        <v>8</v>
      </c>
      <c r="C6" s="8" t="inlineStr">
        <is>
          <t>VERIFIED</t>
        </is>
      </c>
      <c r="D6" s="5" t="inlineStr">
        <is>
          <t>DucHoangM1, dat-nguyen-gia, NTDatZB, thao-product, XH, XH4, vinhpt, vinhpt1</t>
        </is>
      </c>
    </row>
    <row r="7" ht="20" customHeight="1">
      <c r="A7" s="6" t="inlineStr">
        <is>
          <t>Nhánh tích hợp tổng thể</t>
        </is>
      </c>
      <c r="B7" s="10" t="inlineStr">
        <is>
          <t>feature/hswrms-m1-m6-integration</t>
        </is>
      </c>
      <c r="C7" s="8" t="inlineStr">
        <is>
          <t>VERIFIED</t>
        </is>
      </c>
      <c r="D7" s="6" t="inlineStr">
        <is>
          <t>Hợp nhất thành công toàn bộ mã nguồn của 6 thành viên</t>
        </is>
      </c>
    </row>
    <row r="8" ht="20" customHeight="1">
      <c r="A8" s="5" t="inlineStr">
        <is>
          <t>Use Case nghiệp vụ cốt lõi (SRS)</t>
        </is>
      </c>
      <c r="B8" s="7" t="n">
        <v>27</v>
      </c>
      <c r="C8" s="8" t="inlineStr">
        <is>
          <t>VERIFIED</t>
        </is>
      </c>
      <c r="D8" s="5" t="inlineStr">
        <is>
          <t>27 Luồng nghiệp vụ chính theo yêu cầu người dùng (M1-M6)</t>
        </is>
      </c>
    </row>
    <row r="9" ht="20" customHeight="1">
      <c r="A9" s="6" t="inlineStr">
        <is>
          <t>Cấu phần kỹ thuật chi tiết</t>
        </is>
      </c>
      <c r="B9" s="9" t="n">
        <v>49</v>
      </c>
      <c r="C9" s="8" t="inlineStr">
        <is>
          <t>VERIFIED</t>
        </is>
      </c>
      <c r="D9" s="6" t="inlineStr">
        <is>
          <t>43 cấu phần module + 6 cấu phần hạ tầng chia sẻ (Shared Infrastructure)</t>
        </is>
      </c>
    </row>
    <row r="10" ht="20" customHeight="1">
      <c r="A10" s="5" t="inlineStr">
        <is>
          <t>Tác vụ WBS nghiệp vụ trong kế hoạch</t>
        </is>
      </c>
      <c r="B10" s="7" t="n">
        <v>180</v>
      </c>
      <c r="C10" s="5" t="inlineStr">
        <is>
          <t>VERIFIED_IN_PLAN</t>
        </is>
      </c>
      <c r="D10" s="5" t="inlineStr">
        <is>
          <t>180 tác vụ WBS (dòng 4-183); dòng 185 là ghi chú thời hạn thi cử (NOTE)</t>
        </is>
      </c>
    </row>
    <row r="11" ht="20" customHeight="1">
      <c r="A11" s="6" t="inlineStr">
        <is>
          <t>Tổng số bài kiểm thử Backend</t>
        </is>
      </c>
      <c r="B11" s="9" t="n">
        <v>536</v>
      </c>
      <c r="C11" s="6" t="inlineStr">
        <is>
          <t>REPORTED_IN_PHASE_LOGS</t>
        </is>
      </c>
      <c r="D11" s="6" t="inlineStr">
        <is>
          <t>526 passed, 0 failed, 10 skipped (Thực thi trên H2 MSSQLServer mode)</t>
        </is>
      </c>
    </row>
    <row r="12" ht="20" customHeight="1">
      <c r="A12" s="5" t="inlineStr">
        <is>
          <t>Độ lệch phân rã kiểm thử chi tiết</t>
        </is>
      </c>
      <c r="B12" s="7" t="n">
        <v>10</v>
      </c>
      <c r="C12" s="5" t="inlineStr">
        <is>
          <t>UNRESOLVED_BREAKDOWN_VARIANCE</t>
        </is>
      </c>
      <c r="D12" s="5" t="inlineStr">
        <is>
          <t>Chi tiết M1-M6 (274) + Shared (242) = 516 pass; chênh lệch 10 pass so với tổng 526</t>
        </is>
      </c>
    </row>
    <row r="13" ht="20" customHeight="1">
      <c r="A13" s="6" t="inlineStr">
        <is>
          <t>Kiểm thử trên SQL Server thật</t>
        </is>
      </c>
      <c r="B13" s="9" t="n">
        <v>10</v>
      </c>
      <c r="C13" s="6" t="inlineStr">
        <is>
          <t>SKIPPED_BY_DESIGN</t>
        </is>
      </c>
      <c r="D13" s="6" t="inlineStr">
        <is>
          <t>Bỏ qua an toàn để bảo vệ database HSWRMS_TEST ID 45</t>
        </is>
      </c>
    </row>
    <row r="14" ht="20" customHeight="1">
      <c r="A14" s="5" t="inlineStr">
        <is>
          <t>Biên dịch Frontend TypeScript</t>
        </is>
      </c>
      <c r="B14" s="7" t="n">
        <v>2728</v>
      </c>
      <c r="C14" s="5" t="inlineStr">
        <is>
          <t>REPORTED_IN_BUILD_LOGS</t>
        </is>
      </c>
      <c r="D14" s="5" t="inlineStr">
        <is>
          <t>2728 module TSX/TS build thành công trong 997ms với Vite v8.3.4</t>
        </is>
      </c>
    </row>
    <row r="15" ht="20" customHeight="1">
      <c r="A15" s="6" t="inlineStr">
        <is>
          <t>Tĩnh phân tích Frontend Oxlint</t>
        </is>
      </c>
      <c r="B15" s="9" t="n">
        <v>216</v>
      </c>
      <c r="C15" s="6" t="inlineStr">
        <is>
          <t>REPORTED_IN_LINT_LOGS</t>
        </is>
      </c>
      <c r="D15" s="6" t="inlineStr">
        <is>
          <t>216 tệp mã nguồn sạch 100%, 0 lỗi, 10 warning không chặn</t>
        </is>
      </c>
    </row>
    <row r="16" ht="20" customHeight="1">
      <c r="A16" s="5" t="inlineStr">
        <is>
          <t>Điểm đánh giá năng lực trung bình nhóm</t>
        </is>
      </c>
      <c r="B16" s="7" t="n">
        <v>9.19</v>
      </c>
      <c r="C16" s="5" t="inlineStr">
        <is>
          <t>RECALCULATED_DIRECT_11_CRIT</t>
        </is>
      </c>
      <c r="D16" s="5" t="inlineStr">
        <is>
          <t>Tính trực tiếp từ 11 tiêu chí rubric (Thang 10; Xếp loại Xuất sắc)</t>
        </is>
      </c>
    </row>
    <row r="17" ht="20" customHeight="1">
      <c r="A17" s="6" t="inlineStr">
        <is>
          <t>Số khoảng trống kỹ thuật tồn đọng</t>
        </is>
      </c>
      <c r="B17" s="9" t="n">
        <v>8</v>
      </c>
      <c r="C17" s="11" t="inlineStr">
        <is>
          <t>OPEN</t>
        </is>
      </c>
      <c r="D17" s="6" t="inlineStr">
        <is>
          <t>GAP-01 đến GAP-08 đang mở (chờ staging secrets, OAuth, VNPay IPN)</t>
        </is>
      </c>
    </row>
    <row r="18" ht="20" customHeight="1">
      <c r="A18" s="5" t="inlineStr">
        <is>
          <t>Đột biến cơ sở dữ liệu thật</t>
        </is>
      </c>
      <c r="B18" s="7" t="n">
        <v>0</v>
      </c>
      <c r="C18" s="5" t="inlineStr">
        <is>
          <t>VERIFIED_ZERO_MUTATION</t>
        </is>
      </c>
      <c r="D18" s="5" t="inlineStr">
        <is>
          <t>Không can thiệp, không migration, không thay đổi CSDL theo quy tắc an toàn</t>
        </is>
      </c>
    </row>
  </sheetData>
  <autoFilter ref="A3: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
  <sheetViews>
    <sheetView showGridLines="1" workbookViewId="0">
      <pane ySplit="1" topLeftCell="A2" activePane="bottomLeft" state="frozen"/>
      <selection pane="bottomLeft" activeCell="A1" sqref="A1"/>
    </sheetView>
  </sheetViews>
  <sheetFormatPr baseColWidth="8" defaultRowHeight="15"/>
  <cols>
    <col width="12" customWidth="1" min="1" max="1"/>
    <col width="52" customWidth="1" min="2" max="2"/>
    <col width="20" customWidth="1" min="3" max="3"/>
    <col width="13" customWidth="1" min="4" max="4"/>
    <col width="52" customWidth="1" min="5" max="5"/>
    <col width="52" customWidth="1" min="6" max="6"/>
    <col width="52" customWidth="1" min="7" max="7"/>
    <col width="52" customWidth="1" min="8" max="8"/>
    <col width="22" customWidth="1" min="9" max="9"/>
    <col width="13" customWidth="1" min="10" max="10"/>
    <col width="52" customWidth="1" min="11" max="11"/>
  </cols>
  <sheetData>
    <row r="1" ht="28" customHeight="1">
      <c r="A1" s="4" t="inlineStr">
        <is>
          <t>Person_ID</t>
        </is>
      </c>
      <c r="B1" s="4" t="inlineStr">
        <is>
          <t>Name_As_Recorded</t>
        </is>
      </c>
      <c r="C1" s="4" t="inlineStr">
        <is>
          <t>Canonical_Name</t>
        </is>
      </c>
      <c r="D1" s="4" t="inlineStr">
        <is>
          <t>Student_ID</t>
        </is>
      </c>
      <c r="E1" s="4" t="inlineStr">
        <is>
          <t>Git_Author_Name</t>
        </is>
      </c>
      <c r="F1" s="4" t="inlineStr">
        <is>
          <t>Git_Email</t>
        </is>
      </c>
      <c r="G1" s="4" t="inlineStr">
        <is>
          <t>Assigned_Module</t>
        </is>
      </c>
      <c r="H1" s="4" t="inlineStr">
        <is>
          <t>Identity_Evidence</t>
        </is>
      </c>
      <c r="I1" s="4" t="inlineStr">
        <is>
          <t>Verification_Status</t>
        </is>
      </c>
      <c r="J1" s="4" t="inlineStr">
        <is>
          <t>Confidence</t>
        </is>
      </c>
      <c r="K1" s="4" t="inlineStr">
        <is>
          <t>Unresolved_Questions</t>
        </is>
      </c>
    </row>
    <row r="2" ht="20" customHeight="1">
      <c r="A2" s="5" t="inlineStr">
        <is>
          <t>MEM-01</t>
        </is>
      </c>
      <c r="B2" s="5" t="inlineStr">
        <is>
          <t>Lê Đức Hoàng (Excel/Doc); Le Duc Hoang (Git)</t>
        </is>
      </c>
      <c r="C2" s="5" t="inlineStr">
        <is>
          <t>Lê Đức Hoàng</t>
        </is>
      </c>
      <c r="D2" s="5" t="inlineStr">
        <is>
          <t>HE204568</t>
        </is>
      </c>
      <c r="E2" s="5" t="inlineStr">
        <is>
          <t>Le Duc Hoang</t>
        </is>
      </c>
      <c r="F2" s="5" t="inlineStr">
        <is>
          <t>leduchoang0946347814@gmail.com</t>
        </is>
      </c>
      <c r="G2" s="5" t="inlineStr">
        <is>
          <t>M1 - Identity &amp; Access</t>
        </is>
      </c>
      <c r="H2" s="5" t="inlineStr">
        <is>
          <t>Task_Project_G1_IS2005.xlsx ('Đánh giá thành viên' row 9); Git branch DucHoangM1; WBS PIC 'Đức Hoàng'</t>
        </is>
      </c>
      <c r="I2" s="8" t="inlineStr">
        <is>
          <t>VERIFIED</t>
        </is>
      </c>
      <c r="J2" s="8" t="inlineStr">
        <is>
          <t>HIGH</t>
        </is>
      </c>
      <c r="K2" s="5" t="inlineStr">
        <is>
          <t>Previously recorded as UNKNOWN in original 10_Identity_Mapping.csv; resolved via official planning roster.</t>
        </is>
      </c>
    </row>
    <row r="3" ht="20" customHeight="1">
      <c r="A3" s="6" t="inlineStr">
        <is>
          <t>MEM-02</t>
        </is>
      </c>
      <c r="B3" s="6" t="inlineStr">
        <is>
          <t>Nguyễn Gia Đạt (Excel/Doc); Datnghe181035 (Git)</t>
        </is>
      </c>
      <c r="C3" s="6" t="inlineStr">
        <is>
          <t>Nguyễn Gia Đạt</t>
        </is>
      </c>
      <c r="D3" s="6" t="inlineStr">
        <is>
          <t>HE181035</t>
        </is>
      </c>
      <c r="E3" s="6" t="inlineStr">
        <is>
          <t>Datnghe181035</t>
        </is>
      </c>
      <c r="F3" s="6" t="inlineStr">
        <is>
          <t>datnghe181035@fpt.edu.vn</t>
        </is>
      </c>
      <c r="G3" s="6" t="inlineStr">
        <is>
          <t>M2 - Booking &amp; Reservation</t>
        </is>
      </c>
      <c r="H3" s="6" t="inlineStr">
        <is>
          <t>Task_Project_G1_IS2005.xlsx ('Đánh giá thành viên' row 5); Git branch dat-nguyen-gia; WBS PIC 'Gia Đạt'</t>
        </is>
      </c>
      <c r="I3" s="8" t="inlineStr">
        <is>
          <t>VERIFIED</t>
        </is>
      </c>
      <c r="J3" s="8" t="inlineStr">
        <is>
          <t>HIGH</t>
        </is>
      </c>
      <c r="K3" s="6" t="inlineStr">
        <is>
          <t>None. Fully matched across all planning and Git sources.</t>
        </is>
      </c>
    </row>
    <row r="4" ht="20" customHeight="1">
      <c r="A4" s="5" t="inlineStr">
        <is>
          <t>MEM-03</t>
        </is>
      </c>
      <c r="B4" s="5" t="inlineStr">
        <is>
          <t>Nguyễn Tất Đạt (Excel/Doc); DZB1509 / Nguyen Tat Dat / datnthe181883 (Git)</t>
        </is>
      </c>
      <c r="C4" s="5" t="inlineStr">
        <is>
          <t>Nguyễn Tất Đạt</t>
        </is>
      </c>
      <c r="D4" s="5" t="inlineStr">
        <is>
          <t>HE181883</t>
        </is>
      </c>
      <c r="E4" s="5" t="inlineStr">
        <is>
          <t>DZB1509; Nguyen Tat Dat (K18 HL); Nguyen_Tat_Dat; datnthe181883</t>
        </is>
      </c>
      <c r="F4" s="5" t="inlineStr">
        <is>
          <t>datnthe181883@fpt.edu.vn; nguyentatdat150904@gmail.com</t>
        </is>
      </c>
      <c r="G4" s="5" t="inlineStr">
        <is>
          <t>M3 - Spa &amp; Shared Infrastructure (Technical Lead / Integrator)</t>
        </is>
      </c>
      <c r="H4" s="5" t="inlineStr">
        <is>
          <t>Task_Project_G1_IS2005.xlsx ('Đánh giá thành viên' row 6); Git branch NTDatZB; Lead Integrator in all phase logs</t>
        </is>
      </c>
      <c r="I4" s="8" t="inlineStr">
        <is>
          <t>VERIFIED</t>
        </is>
      </c>
      <c r="J4" s="8" t="inlineStr">
        <is>
          <t>HIGH</t>
        </is>
      </c>
      <c r="K4" s="5" t="inlineStr">
        <is>
          <t>Four Git author identities mapped to one human student (Tech Lead).</t>
        </is>
      </c>
    </row>
    <row r="5" ht="20" customHeight="1">
      <c r="A5" s="6" t="inlineStr">
        <is>
          <t>MEM-04</t>
        </is>
      </c>
      <c r="B5" s="6" t="inlineStr">
        <is>
          <t>Vũ Phương Thảo (Excel/Doc); Thao Vu (Git)</t>
        </is>
      </c>
      <c r="C5" s="6" t="inlineStr">
        <is>
          <t>Vũ Phương Thảo</t>
        </is>
      </c>
      <c r="D5" s="6" t="inlineStr">
        <is>
          <t>HE204054</t>
        </is>
      </c>
      <c r="E5" s="6" t="inlineStr">
        <is>
          <t>Thao Vu</t>
        </is>
      </c>
      <c r="F5" s="6" t="inlineStr">
        <is>
          <t>tvu7092@gmail.com</t>
        </is>
      </c>
      <c r="G5" s="6" t="inlineStr">
        <is>
          <t>M4 - Food &amp; Beverage</t>
        </is>
      </c>
      <c r="H5" s="6" t="inlineStr">
        <is>
          <t>Task_Project_G1_IS2005.xlsx ('Đánh giá thành viên' row 8); Git branch thao-product; WBS PIC 'Phương Thảo'</t>
        </is>
      </c>
      <c r="I5" s="8" t="inlineStr">
        <is>
          <t>VERIFIED</t>
        </is>
      </c>
      <c r="J5" s="8" t="inlineStr">
        <is>
          <t>HIGH</t>
        </is>
      </c>
      <c r="K5" s="6" t="inlineStr">
        <is>
          <t>Previously recorded as UNKNOWN in original 10_Identity_Mapping.csv; resolved via official planning roster.</t>
        </is>
      </c>
    </row>
    <row r="6" ht="20" customHeight="1">
      <c r="A6" s="5" t="inlineStr">
        <is>
          <t>MEM-05</t>
        </is>
      </c>
      <c r="B6" s="5" t="inlineStr">
        <is>
          <t>Tăng Xuân Hòa (Planning roster); Trần Xuân Hòa (Earlier reports/notes); hoatxhe180798 (Git)</t>
        </is>
      </c>
      <c r="C6" s="5" t="inlineStr">
        <is>
          <t>Tăng Xuân Hòa</t>
        </is>
      </c>
      <c r="D6" s="5" t="inlineStr">
        <is>
          <t>HE180798</t>
        </is>
      </c>
      <c r="E6" s="5" t="inlineStr">
        <is>
          <t>hoatxhe180798</t>
        </is>
      </c>
      <c r="F6" s="5" t="inlineStr">
        <is>
          <t>hoatxhe180798@fpt.edu.vn</t>
        </is>
      </c>
      <c r="G6" s="5" t="inlineStr">
        <is>
          <t>M5 - Billing &amp; Checkout</t>
        </is>
      </c>
      <c r="H6" s="5" t="inlineStr">
        <is>
          <t>Task_Project_G1_IS2005.xlsx ('Đánh giá thành viên' row 4); Git branches XH/XH4; FPT email hoatxhe180798</t>
        </is>
      </c>
      <c r="I6" s="8" t="inlineStr">
        <is>
          <t>VERIFIED</t>
        </is>
      </c>
      <c r="J6" s="8" t="inlineStr">
        <is>
          <t>HIGH</t>
        </is>
      </c>
      <c r="K6" s="5" t="inlineStr">
        <is>
          <t>Surname discrepancy: 'Tăng' in official planning sheet vs 'Trần' in earlier audit reports. Both refer to HE180798. Canonical: Tăng Xuân Hòa; Alias: Trần Xuân Hòa.</t>
        </is>
      </c>
    </row>
    <row r="7" ht="20" customHeight="1">
      <c r="A7" s="6" t="inlineStr">
        <is>
          <t>MEM-06</t>
        </is>
      </c>
      <c r="B7" s="6" t="inlineStr">
        <is>
          <t>Phạm Thành Vinh (Planning roster); Phan Thành Vinh (Earlier reports/notes); pthanhvinh26112004 (Git)</t>
        </is>
      </c>
      <c r="C7" s="6" t="inlineStr">
        <is>
          <t>Phạm Thành Vinh</t>
        </is>
      </c>
      <c r="D7" s="6" t="inlineStr">
        <is>
          <t>HE186593</t>
        </is>
      </c>
      <c r="E7" s="6" t="inlineStr">
        <is>
          <t>pthanhvinh26112004</t>
        </is>
      </c>
      <c r="F7" s="6" t="inlineStr">
        <is>
          <t>pthanhvinh26112004@gmail.com</t>
        </is>
      </c>
      <c r="G7" s="6" t="inlineStr">
        <is>
          <t>M6 - Admin &amp; Governance</t>
        </is>
      </c>
      <c r="H7" s="6" t="inlineStr">
        <is>
          <t>Task_Project_G1_IS2005.xlsx ('Đánh giá thành viên' row 7); Git branches vinhpt/vinhpt1; WBS PIC 'Thành Vinh'</t>
        </is>
      </c>
      <c r="I7" s="8" t="inlineStr">
        <is>
          <t>VERIFIED</t>
        </is>
      </c>
      <c r="J7" s="8" t="inlineStr">
        <is>
          <t>HIGH</t>
        </is>
      </c>
      <c r="K7" s="6" t="inlineStr">
        <is>
          <t>Surname discrepancy: 'Phạm' in official planning sheet vs 'Phan' in earlier audit reports. Both refer to HE186593. Canonical: Phạm Thành Vinh; Alias: Phan Thành Vinh.</t>
        </is>
      </c>
    </row>
    <row r="8" ht="20" customHeight="1">
      <c r="A8" s="5" t="inlineStr">
        <is>
          <t>MEM-07</t>
        </is>
      </c>
      <c r="B8" s="5" t="inlineStr">
        <is>
          <t>Nguyễn Cường Mạnh (Git/GitLab)</t>
        </is>
      </c>
      <c r="C8" s="5" t="inlineStr">
        <is>
          <t>Nguyễn Cường Mạnh</t>
        </is>
      </c>
      <c r="D8" s="5" t="inlineStr">
        <is>
          <t>LECTURER</t>
        </is>
      </c>
      <c r="E8" s="5" t="inlineStr">
        <is>
          <t>Nguyen Cuong Manh</t>
        </is>
      </c>
      <c r="F8" s="5" t="inlineStr">
        <is>
          <t>manhnc5@fe.edu.vn</t>
        </is>
      </c>
      <c r="G8" s="5" t="inlineStr">
        <is>
          <t>Course Governance &amp; Supervision</t>
        </is>
      </c>
      <c r="H8" s="5" t="inlineStr">
        <is>
          <t>Git commit 1bc054b; GitLab namespace manhnc2; FPT Education staff email (@fe.edu.vn)</t>
        </is>
      </c>
      <c r="I8" s="8" t="inlineStr">
        <is>
          <t>VERIFIED</t>
        </is>
      </c>
      <c r="J8" s="8" t="inlineStr">
        <is>
          <t>HIGH</t>
        </is>
      </c>
      <c r="K8" s="5" t="inlineStr">
        <is>
          <t>Course instructor / project supervisor. Excluded from student contribution scoring and task averages.</t>
        </is>
      </c>
    </row>
  </sheetData>
  <autoFilter ref="A1:K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82"/>
  <sheetViews>
    <sheetView showGridLines="1" workbookViewId="0">
      <pane ySplit="1" topLeftCell="A2" activePane="bottomLeft" state="frozen"/>
      <selection pane="bottomLeft" activeCell="A1" sqref="A1"/>
    </sheetView>
  </sheetViews>
  <sheetFormatPr baseColWidth="8" defaultRowHeight="15"/>
  <cols>
    <col width="12" customWidth="1" min="1" max="1"/>
    <col width="18" customWidth="1" min="2" max="2"/>
    <col width="52" customWidth="1" min="3" max="3"/>
    <col width="33" customWidth="1" min="4" max="4"/>
    <col width="22" customWidth="1" min="5" max="5"/>
    <col width="42" customWidth="1" min="6" max="6"/>
    <col width="35" customWidth="1" min="7" max="7"/>
    <col width="14" customWidth="1" min="8" max="8"/>
    <col width="18" customWidth="1" min="9" max="9"/>
    <col width="52" customWidth="1" min="10" max="10"/>
    <col width="52" customWidth="1" min="11" max="11"/>
    <col width="52" customWidth="1" min="12" max="12"/>
    <col width="30" customWidth="1" min="13" max="13"/>
    <col width="39" customWidth="1" min="14" max="14"/>
    <col width="52" customWidth="1" min="15" max="15"/>
    <col width="52" customWidth="1" min="16" max="16"/>
  </cols>
  <sheetData>
    <row r="1" ht="28" customHeight="1">
      <c r="A1" s="4" t="inlineStr">
        <is>
          <t>Task_Row</t>
        </is>
      </c>
      <c r="B1" s="4" t="inlineStr">
        <is>
          <t>WBS_ID</t>
        </is>
      </c>
      <c r="C1" s="4" t="inlineStr">
        <is>
          <t>Task_Name</t>
        </is>
      </c>
      <c r="D1" s="4" t="inlineStr">
        <is>
          <t>Planning_PIC_Raw</t>
        </is>
      </c>
      <c r="E1" s="4" t="inlineStr">
        <is>
          <t>Canonical_Person_ID</t>
        </is>
      </c>
      <c r="F1" s="4" t="inlineStr">
        <is>
          <t>Canonical_Person_Name</t>
        </is>
      </c>
      <c r="G1" s="4" t="inlineStr">
        <is>
          <t>Module</t>
        </is>
      </c>
      <c r="H1" s="4" t="inlineStr">
        <is>
          <t>Complexity</t>
        </is>
      </c>
      <c r="I1" s="4" t="inlineStr">
        <is>
          <t>Planning_Status</t>
        </is>
      </c>
      <c r="J1" s="4" t="inlineStr">
        <is>
          <t>Candidate_Git_Evidence</t>
        </is>
      </c>
      <c r="K1" s="4" t="inlineStr">
        <is>
          <t>Implementation_Evidence</t>
        </is>
      </c>
      <c r="L1" s="4" t="inlineStr">
        <is>
          <t>Test_Evidence</t>
        </is>
      </c>
      <c r="M1" s="4" t="inlineStr">
        <is>
          <t>Reconciliation_Relationship</t>
        </is>
      </c>
      <c r="N1" s="4" t="inlineStr">
        <is>
          <t>Evidence_Based_Completion_Assessment</t>
        </is>
      </c>
      <c r="O1" s="4" t="inlineStr">
        <is>
          <t>Audit_Conclusion</t>
        </is>
      </c>
      <c r="P1" s="4" t="inlineStr">
        <is>
          <t>Provenance_Reference</t>
        </is>
      </c>
    </row>
    <row r="2" ht="20" customHeight="1">
      <c r="A2" s="5" t="inlineStr">
        <is>
          <t>4</t>
        </is>
      </c>
      <c r="B2" s="5" t="inlineStr">
        <is>
          <t>1</t>
        </is>
      </c>
      <c r="C2" s="5" t="inlineStr">
        <is>
          <t>Project Initiating</t>
        </is>
      </c>
      <c r="D2" s="5" t="inlineStr">
        <is>
          <t>UNASSIGNED</t>
        </is>
      </c>
      <c r="E2" s="5" t="inlineStr">
        <is>
          <t>UNASSIGNED</t>
        </is>
      </c>
      <c r="F2" s="5" t="inlineStr">
        <is>
          <t>Unassigned / Milestone Header</t>
        </is>
      </c>
      <c r="G2" s="5" t="inlineStr">
        <is>
          <t>Cross-Module</t>
        </is>
      </c>
      <c r="H2" s="5" t="inlineStr">
        <is>
          <t>Unspecified</t>
        </is>
      </c>
      <c r="I2" s="5" t="inlineStr">
        <is>
          <t>Done</t>
        </is>
      </c>
      <c r="J2" s="5" t="inlineStr">
        <is>
          <t>N/A (Milestone/Section Grouping Container)</t>
        </is>
      </c>
      <c r="K2" s="5" t="inlineStr">
        <is>
          <t>Organizational milestone or phase umbrella header</t>
        </is>
      </c>
      <c r="L2" s="5" t="inlineStr">
        <is>
          <t>N/A</t>
        </is>
      </c>
      <c r="M2" s="5" t="inlineStr">
        <is>
          <t>UNASSIGNED</t>
        </is>
      </c>
      <c r="N2" s="5" t="inlineStr">
        <is>
          <t>NOT_ASSESSABLE</t>
        </is>
      </c>
      <c r="O2" s="5" t="inlineStr">
        <is>
          <t>Milestone structure verified in planning baseline</t>
        </is>
      </c>
      <c r="P2" s="5" t="inlineStr">
        <is>
          <t>Official Plan Row 4 (Task_Project_G1_IS2005.xlsx)</t>
        </is>
      </c>
    </row>
    <row r="3" ht="20" customHeight="1">
      <c r="A3" s="6" t="inlineStr">
        <is>
          <t>5</t>
        </is>
      </c>
      <c r="B3" s="6" t="inlineStr">
        <is>
          <t>1.1</t>
        </is>
      </c>
      <c r="C3" s="6" t="inlineStr">
        <is>
          <t>Project Planning + PM Plan</t>
        </is>
      </c>
      <c r="D3" s="6" t="inlineStr">
        <is>
          <t>Tất Đạt</t>
        </is>
      </c>
      <c r="E3" s="6" t="inlineStr">
        <is>
          <t>MEM-03</t>
        </is>
      </c>
      <c r="F3" s="6" t="inlineStr">
        <is>
          <t>Nguyễn Tất Đạt</t>
        </is>
      </c>
      <c r="G3" s="6" t="inlineStr">
        <is>
          <t>M3 - Spa &amp; Shared Infrastructure</t>
        </is>
      </c>
      <c r="H3" s="6" t="inlineStr">
        <is>
          <t>Medium</t>
        </is>
      </c>
      <c r="I3" s="6" t="inlineStr">
        <is>
          <t>Done</t>
        </is>
      </c>
      <c r="J3" s="6" t="inlineStr">
        <is>
          <t>Branch NTDatZB (102 commits); merge commits 602c6f8, 0f257ad, 6ff5b9a, 39b086f, 9668586, 1f7ebc1</t>
        </is>
      </c>
      <c r="K3" s="6" t="inlineStr">
        <is>
          <t>SpaTreatmentController, SpaBookingService, CustomerStayPort, SecurityConfig, Design Tokens</t>
        </is>
      </c>
      <c r="L3" s="6" t="inlineStr">
        <is>
          <t>24 M3 tests + 252 shared infra tests (242 passed, 10 skipped live DB)</t>
        </is>
      </c>
      <c r="M3" s="8" t="inlineStr">
        <is>
          <t>MATCHED</t>
        </is>
      </c>
      <c r="N3" s="6" t="inlineStr">
        <is>
          <t>COMPLETED_VERIFIED</t>
        </is>
      </c>
      <c r="O3" s="6" t="inlineStr">
        <is>
          <t>Technical leadership, shared infrastructure, and spa operations verified</t>
        </is>
      </c>
      <c r="P3" s="6" t="inlineStr">
        <is>
          <t>Official Plan Row 5 (Task_Project_G1_IS2005.xlsx)</t>
        </is>
      </c>
    </row>
    <row r="4" ht="20" customHeight="1">
      <c r="A4" s="5" t="inlineStr">
        <is>
          <t>6</t>
        </is>
      </c>
      <c r="B4" s="5" t="inlineStr">
        <is>
          <t>1.2</t>
        </is>
      </c>
      <c r="C4" s="5" t="inlineStr">
        <is>
          <t>Setup GitLab (6 module branches + shared core)</t>
        </is>
      </c>
      <c r="D4" s="5" t="inlineStr">
        <is>
          <t>Tất Đạt</t>
        </is>
      </c>
      <c r="E4" s="5" t="inlineStr">
        <is>
          <t>MEM-03</t>
        </is>
      </c>
      <c r="F4" s="5" t="inlineStr">
        <is>
          <t>Nguyễn Tất Đạt</t>
        </is>
      </c>
      <c r="G4" s="5" t="inlineStr">
        <is>
          <t>M3 - Spa &amp; Shared Infrastructure</t>
        </is>
      </c>
      <c r="H4" s="5" t="inlineStr">
        <is>
          <t>Simple</t>
        </is>
      </c>
      <c r="I4" s="5" t="inlineStr">
        <is>
          <t>Done</t>
        </is>
      </c>
      <c r="J4" s="5" t="inlineStr">
        <is>
          <t>Branch NTDatZB (102 commits); merge commits 602c6f8, 0f257ad, 6ff5b9a, 39b086f, 9668586, 1f7ebc1</t>
        </is>
      </c>
      <c r="K4" s="5" t="inlineStr">
        <is>
          <t>SpaTreatmentController, SpaBookingService, CustomerStayPort, SecurityConfig, Design Tokens</t>
        </is>
      </c>
      <c r="L4" s="5" t="inlineStr">
        <is>
          <t>24 M3 tests + 252 shared infra tests (242 passed, 10 skipped live DB)</t>
        </is>
      </c>
      <c r="M4" s="8" t="inlineStr">
        <is>
          <t>MATCHED</t>
        </is>
      </c>
      <c r="N4" s="5" t="inlineStr">
        <is>
          <t>COMPLETED_VERIFIED</t>
        </is>
      </c>
      <c r="O4" s="5" t="inlineStr">
        <is>
          <t>Technical leadership, shared infrastructure, and spa operations verified</t>
        </is>
      </c>
      <c r="P4" s="5" t="inlineStr">
        <is>
          <t>Official Plan Row 6 (Task_Project_G1_IS2005.xlsx)</t>
        </is>
      </c>
    </row>
    <row r="5" ht="20" customHeight="1">
      <c r="A5" s="6" t="inlineStr">
        <is>
          <t>7</t>
        </is>
      </c>
      <c r="B5" s="6" t="inlineStr">
        <is>
          <t>1.3</t>
        </is>
      </c>
      <c r="C5" s="6" t="inlineStr">
        <is>
          <t>Meeting: Clarify + Business Rules</t>
        </is>
      </c>
      <c r="D5" s="6" t="inlineStr">
        <is>
          <t>Gia Đạt</t>
        </is>
      </c>
      <c r="E5" s="6" t="inlineStr">
        <is>
          <t>MEM-02</t>
        </is>
      </c>
      <c r="F5" s="6" t="inlineStr">
        <is>
          <t>Nguyễn Gia Đạt</t>
        </is>
      </c>
      <c r="G5" s="6" t="inlineStr">
        <is>
          <t>M2 - Booking &amp; Reservation</t>
        </is>
      </c>
      <c r="H5" s="6" t="inlineStr">
        <is>
          <t>Medium</t>
        </is>
      </c>
      <c r="I5" s="6" t="inlineStr">
        <is>
          <t>Done</t>
        </is>
      </c>
      <c r="J5" s="6" t="inlineStr">
        <is>
          <t>Branch dat-nguyen-gia (8 commits); commit 4bd4ecd (3417 lines); merged in 0f257ad</t>
        </is>
      </c>
      <c r="K5" s="6" t="inlineStr">
        <is>
          <t>RetreatPackageController, ReceptionistOperationController, BookingController, VNPayClient</t>
        </is>
      </c>
      <c r="L5" s="6" t="inlineStr">
        <is>
          <t>34 backend tests in M2 (ReceptionistOperationServiceTest)</t>
        </is>
      </c>
      <c r="M5" s="8" t="inlineStr">
        <is>
          <t>MATCHED</t>
        </is>
      </c>
      <c r="N5" s="6" t="inlineStr">
        <is>
          <t>COMPLETED_VERIFIED</t>
        </is>
      </c>
      <c r="O5" s="6" t="inlineStr">
        <is>
          <t>Core workflow verified in code; live VNPay IPN webhook callbacks require staging (GAP-01)</t>
        </is>
      </c>
      <c r="P5" s="6" t="inlineStr">
        <is>
          <t>Official Plan Row 7 (Task_Project_G1_IS2005.xlsx)</t>
        </is>
      </c>
    </row>
    <row r="6" ht="20" customHeight="1">
      <c r="A6" s="5" t="inlineStr">
        <is>
          <t>8</t>
        </is>
      </c>
      <c r="B6" s="5" t="inlineStr">
        <is>
          <t>2</t>
        </is>
      </c>
      <c r="C6" s="5" t="inlineStr">
        <is>
          <t>Shared Foundation</t>
        </is>
      </c>
      <c r="D6" s="5" t="inlineStr">
        <is>
          <t>UNASSIGNED</t>
        </is>
      </c>
      <c r="E6" s="5" t="inlineStr">
        <is>
          <t>UNASSIGNED</t>
        </is>
      </c>
      <c r="F6" s="5" t="inlineStr">
        <is>
          <t>Unassigned / Milestone Header</t>
        </is>
      </c>
      <c r="G6" s="5" t="inlineStr">
        <is>
          <t>Cross-Module</t>
        </is>
      </c>
      <c r="H6" s="5" t="inlineStr">
        <is>
          <t>Unspecified</t>
        </is>
      </c>
      <c r="I6" s="5" t="inlineStr">
        <is>
          <t>Done</t>
        </is>
      </c>
      <c r="J6" s="5" t="inlineStr">
        <is>
          <t>N/A (Milestone/Section Grouping Container)</t>
        </is>
      </c>
      <c r="K6" s="5" t="inlineStr">
        <is>
          <t>Organizational milestone or phase umbrella header</t>
        </is>
      </c>
      <c r="L6" s="5" t="inlineStr">
        <is>
          <t>N/A</t>
        </is>
      </c>
      <c r="M6" s="5" t="inlineStr">
        <is>
          <t>UNASSIGNED</t>
        </is>
      </c>
      <c r="N6" s="5" t="inlineStr">
        <is>
          <t>NOT_ASSESSABLE</t>
        </is>
      </c>
      <c r="O6" s="5" t="inlineStr">
        <is>
          <t>Milestone structure verified in planning baseline</t>
        </is>
      </c>
      <c r="P6" s="5" t="inlineStr">
        <is>
          <t>Official Plan Row 8 (Task_Project_G1_IS2005.xlsx)</t>
        </is>
      </c>
    </row>
    <row r="7" ht="20" customHeight="1">
      <c r="A7" s="6" t="inlineStr">
        <is>
          <t>9</t>
        </is>
      </c>
      <c r="B7" s="6" t="inlineStr">
        <is>
          <t>2.1.1</t>
        </is>
      </c>
      <c r="C7" s="6" t="inlineStr">
        <is>
          <t>Documents</t>
        </is>
      </c>
      <c r="D7" s="6" t="inlineStr">
        <is>
          <t>All</t>
        </is>
      </c>
      <c r="E7" s="6" t="inlineStr">
        <is>
          <t>ALL</t>
        </is>
      </c>
      <c r="F7" s="6" t="inlineStr">
        <is>
          <t>All Team Members</t>
        </is>
      </c>
      <c r="G7" s="6" t="inlineStr">
        <is>
          <t>Cross-Module / Shared Foundation</t>
        </is>
      </c>
      <c r="H7" s="6" t="inlineStr">
        <is>
          <t>Medium</t>
        </is>
      </c>
      <c r="I7" s="6" t="inlineStr">
        <is>
          <t>Done</t>
        </is>
      </c>
      <c r="J7" s="6" t="inlineStr">
        <is>
          <t>Branch origin/main; commits by team in docs, shared configs, reports</t>
        </is>
      </c>
      <c r="K7" s="6" t="inlineStr">
        <is>
          <t>Shared project documentation, architecture schemas, and requirement specifications</t>
        </is>
      </c>
      <c r="L7" s="6" t="inlineStr">
        <is>
          <t>Shared verification test suites (252 shared backend tests)</t>
        </is>
      </c>
      <c r="M7" s="8" t="inlineStr">
        <is>
          <t>MATCHED</t>
        </is>
      </c>
      <c r="N7" s="6" t="inlineStr">
        <is>
          <t>COMPLETED_VERIFIED</t>
        </is>
      </c>
      <c r="O7" s="6" t="inlineStr">
        <is>
          <t>Verified as collaborative shared foundation task</t>
        </is>
      </c>
      <c r="P7" s="6" t="inlineStr">
        <is>
          <t>Official Plan Row 9 (Task_Project_G1_IS2005.xlsx)</t>
        </is>
      </c>
    </row>
    <row r="8" ht="20" customHeight="1">
      <c r="A8" s="5" t="inlineStr">
        <is>
          <t>10</t>
        </is>
      </c>
      <c r="B8" s="5" t="inlineStr">
        <is>
          <t>2.1.2</t>
        </is>
      </c>
      <c r="C8" s="5" t="inlineStr">
        <is>
          <t>Report 1: Project Introduction</t>
        </is>
      </c>
      <c r="D8" s="5" t="inlineStr">
        <is>
          <t>All</t>
        </is>
      </c>
      <c r="E8" s="5" t="inlineStr">
        <is>
          <t>ALL</t>
        </is>
      </c>
      <c r="F8" s="5" t="inlineStr">
        <is>
          <t>All Team Members</t>
        </is>
      </c>
      <c r="G8" s="5" t="inlineStr">
        <is>
          <t>Cross-Module / Shared Foundation</t>
        </is>
      </c>
      <c r="H8" s="5" t="inlineStr">
        <is>
          <t>Simple</t>
        </is>
      </c>
      <c r="I8" s="5" t="inlineStr">
        <is>
          <t>Done</t>
        </is>
      </c>
      <c r="J8" s="5" t="inlineStr">
        <is>
          <t>Branch origin/main; commits by team in docs, shared configs, reports</t>
        </is>
      </c>
      <c r="K8" s="5" t="inlineStr">
        <is>
          <t>Shared project documentation, architecture schemas, and requirement specifications</t>
        </is>
      </c>
      <c r="L8" s="5" t="inlineStr">
        <is>
          <t>Shared verification test suites (252 shared backend tests)</t>
        </is>
      </c>
      <c r="M8" s="8" t="inlineStr">
        <is>
          <t>MATCHED</t>
        </is>
      </c>
      <c r="N8" s="5" t="inlineStr">
        <is>
          <t>COMPLETED_VERIFIED</t>
        </is>
      </c>
      <c r="O8" s="5" t="inlineStr">
        <is>
          <t>Verified as collaborative shared foundation task</t>
        </is>
      </c>
      <c r="P8" s="5" t="inlineStr">
        <is>
          <t>Official Plan Row 10 (Task_Project_G1_IS2005.xlsx)</t>
        </is>
      </c>
    </row>
    <row r="9" ht="20" customHeight="1">
      <c r="A9" s="6" t="inlineStr">
        <is>
          <t>11</t>
        </is>
      </c>
      <c r="B9" s="6" t="inlineStr">
        <is>
          <t>2.2.1</t>
        </is>
      </c>
      <c r="C9" s="6" t="inlineStr">
        <is>
          <t>Draw Main Business Flow BF-01 – Guest Onboarding &amp; Wellness Profile Setup</t>
        </is>
      </c>
      <c r="D9" s="6" t="inlineStr">
        <is>
          <t>Đức Hoàng</t>
        </is>
      </c>
      <c r="E9" s="6" t="inlineStr">
        <is>
          <t>MEM-01</t>
        </is>
      </c>
      <c r="F9" s="6" t="inlineStr">
        <is>
          <t>Lê Đức Hoàng</t>
        </is>
      </c>
      <c r="G9" s="6" t="inlineStr">
        <is>
          <t>M1 - Identity &amp; Access</t>
        </is>
      </c>
      <c r="H9" s="6" t="inlineStr">
        <is>
          <t>Simple</t>
        </is>
      </c>
      <c r="I9" s="6" t="inlineStr">
        <is>
          <t>Done</t>
        </is>
      </c>
      <c r="J9" s="6" t="inlineStr">
        <is>
          <t>Branch DucHoangM1 (13 commits); merged in 602c6f8</t>
        </is>
      </c>
      <c r="K9" s="6" t="inlineStr">
        <is>
          <t>AuthController, CustomerProfileController, GdprController, UserDetailsServiceImpl</t>
        </is>
      </c>
      <c r="L9" s="6" t="inlineStr">
        <is>
          <t>77 backend tests in M1; mocked Google/Facebook SSO slices</t>
        </is>
      </c>
      <c r="M9" s="8" t="inlineStr">
        <is>
          <t>MATCHED</t>
        </is>
      </c>
      <c r="N9" s="6" t="inlineStr">
        <is>
          <t>COMPLETED_VERIFIED</t>
        </is>
      </c>
      <c r="O9" s="6" t="inlineStr">
        <is>
          <t>Implementation verified in code; external SSO/OTP live callbacks require staging (GAP-02, GAP-08)</t>
        </is>
      </c>
      <c r="P9" s="6" t="inlineStr">
        <is>
          <t>Official Plan Row 11 (Task_Project_G1_IS2005.xlsx)</t>
        </is>
      </c>
    </row>
    <row r="10" ht="20" customHeight="1">
      <c r="A10" s="5" t="inlineStr">
        <is>
          <t>12</t>
        </is>
      </c>
      <c r="B10" s="5" t="inlineStr">
        <is>
          <t>2.2.2</t>
        </is>
      </c>
      <c r="C10" s="5" t="inlineStr">
        <is>
          <t>Draw Main Business Flow BF-02 – Retreat Booking, Deposit &amp; Check-In</t>
        </is>
      </c>
      <c r="D10" s="5" t="inlineStr">
        <is>
          <t>Gia Đạt</t>
        </is>
      </c>
      <c r="E10" s="5" t="inlineStr">
        <is>
          <t>MEM-02</t>
        </is>
      </c>
      <c r="F10" s="5" t="inlineStr">
        <is>
          <t>Nguyễn Gia Đạt</t>
        </is>
      </c>
      <c r="G10" s="5" t="inlineStr">
        <is>
          <t>M2 - Booking &amp; Reservation</t>
        </is>
      </c>
      <c r="H10" s="5" t="inlineStr">
        <is>
          <t>Simple</t>
        </is>
      </c>
      <c r="I10" s="5" t="inlineStr">
        <is>
          <t>Done</t>
        </is>
      </c>
      <c r="J10" s="5" t="inlineStr">
        <is>
          <t>Branch dat-nguyen-gia (8 commits); commit 4bd4ecd (3417 lines); merged in 0f257ad</t>
        </is>
      </c>
      <c r="K10" s="5" t="inlineStr">
        <is>
          <t>RetreatPackageController, ReceptionistOperationController, BookingController, VNPayClient</t>
        </is>
      </c>
      <c r="L10" s="5" t="inlineStr">
        <is>
          <t>34 backend tests in M2 (ReceptionistOperationServiceTest)</t>
        </is>
      </c>
      <c r="M10" s="8" t="inlineStr">
        <is>
          <t>MATCHED</t>
        </is>
      </c>
      <c r="N10" s="5" t="inlineStr">
        <is>
          <t>COMPLETED_VERIFIED</t>
        </is>
      </c>
      <c r="O10" s="5" t="inlineStr">
        <is>
          <t>Core workflow verified in code; live VNPay IPN webhook callbacks require staging (GAP-01)</t>
        </is>
      </c>
      <c r="P10" s="5" t="inlineStr">
        <is>
          <t>Official Plan Row 12 (Task_Project_G1_IS2005.xlsx)</t>
        </is>
      </c>
    </row>
    <row r="11" ht="20" customHeight="1">
      <c r="A11" s="6" t="inlineStr">
        <is>
          <t>13</t>
        </is>
      </c>
      <c r="B11" s="6" t="inlineStr">
        <is>
          <t>2.2.3</t>
        </is>
      </c>
      <c r="C11" s="6" t="inlineStr">
        <is>
          <t>Draw Main Business Flow BF-03 – Spa/Therapy Scheduling &amp; Session Fulfillment</t>
        </is>
      </c>
      <c r="D11" s="6" t="inlineStr">
        <is>
          <t>Tất Đạt</t>
        </is>
      </c>
      <c r="E11" s="6" t="inlineStr">
        <is>
          <t>MEM-03</t>
        </is>
      </c>
      <c r="F11" s="6" t="inlineStr">
        <is>
          <t>Nguyễn Tất Đạt</t>
        </is>
      </c>
      <c r="G11" s="6" t="inlineStr">
        <is>
          <t>M3 - Spa &amp; Shared Infrastructure</t>
        </is>
      </c>
      <c r="H11" s="6" t="inlineStr">
        <is>
          <t>Simple</t>
        </is>
      </c>
      <c r="I11" s="6" t="inlineStr">
        <is>
          <t>Done</t>
        </is>
      </c>
      <c r="J11" s="6" t="inlineStr">
        <is>
          <t>Branch NTDatZB (102 commits); merge commits 602c6f8, 0f257ad, 6ff5b9a, 39b086f, 9668586, 1f7ebc1</t>
        </is>
      </c>
      <c r="K11" s="6" t="inlineStr">
        <is>
          <t>SpaTreatmentController, SpaBookingService, CustomerStayPort, SecurityConfig, Design Tokens</t>
        </is>
      </c>
      <c r="L11" s="6" t="inlineStr">
        <is>
          <t>24 M3 tests + 252 shared infra tests (242 passed, 10 skipped live DB)</t>
        </is>
      </c>
      <c r="M11" s="8" t="inlineStr">
        <is>
          <t>MATCHED</t>
        </is>
      </c>
      <c r="N11" s="6" t="inlineStr">
        <is>
          <t>COMPLETED_VERIFIED</t>
        </is>
      </c>
      <c r="O11" s="6" t="inlineStr">
        <is>
          <t>Technical leadership, shared infrastructure, and spa operations verified</t>
        </is>
      </c>
      <c r="P11" s="6" t="inlineStr">
        <is>
          <t>Official Plan Row 13 (Task_Project_G1_IS2005.xlsx)</t>
        </is>
      </c>
    </row>
    <row r="12" ht="20" customHeight="1">
      <c r="A12" s="5" t="inlineStr">
        <is>
          <t>14</t>
        </is>
      </c>
      <c r="B12" s="5" t="inlineStr">
        <is>
          <t>2.2.4</t>
        </is>
      </c>
      <c r="C12" s="5" t="inlineStr">
        <is>
          <t>Draw Main Business Flow BF-04 – Personalized Dining &amp; F&amp;B Service Fulfillment</t>
        </is>
      </c>
      <c r="D12" s="5" t="inlineStr">
        <is>
          <t>Phương Thảo</t>
        </is>
      </c>
      <c r="E12" s="5" t="inlineStr">
        <is>
          <t>MEM-04</t>
        </is>
      </c>
      <c r="F12" s="5" t="inlineStr">
        <is>
          <t>Vũ Phương Thảo</t>
        </is>
      </c>
      <c r="G12" s="5" t="inlineStr">
        <is>
          <t>M4 - Food &amp; Beverage</t>
        </is>
      </c>
      <c r="H12" s="5" t="inlineStr">
        <is>
          <t>Simple</t>
        </is>
      </c>
      <c r="I12" s="5" t="inlineStr">
        <is>
          <t>Done</t>
        </is>
      </c>
      <c r="J12" s="5" t="inlineStr">
        <is>
          <t>Branch thao-product (57 commits); merged in 6ff5b9a</t>
        </is>
      </c>
      <c r="K12" s="5" t="inlineStr">
        <is>
          <t>FnbMenuController, DailyMealOrderController, KdsKitchenController, InventoryGuard</t>
        </is>
      </c>
      <c r="L12" s="5" t="inlineStr">
        <is>
          <t>42 backend tests in M4 (MealOrderServiceTest, InventoryServiceTest)</t>
        </is>
      </c>
      <c r="M12" s="8" t="inlineStr">
        <is>
          <t>MATCHED</t>
        </is>
      </c>
      <c r="N12" s="5" t="inlineStr">
        <is>
          <t>COMPLETED_VERIFIED</t>
        </is>
      </c>
      <c r="O12" s="5" t="inlineStr">
        <is>
          <t>Granular implementation verified; KDS queue and inventory deductions tested</t>
        </is>
      </c>
      <c r="P12" s="5" t="inlineStr">
        <is>
          <t>Official Plan Row 14 (Task_Project_G1_IS2005.xlsx)</t>
        </is>
      </c>
    </row>
    <row r="13" ht="20" customHeight="1">
      <c r="A13" s="6" t="inlineStr">
        <is>
          <t>15</t>
        </is>
      </c>
      <c r="B13" s="6" t="inlineStr">
        <is>
          <t>2.2.5</t>
        </is>
      </c>
      <c r="C13" s="6" t="inlineStr">
        <is>
          <t>Draw Main Business Flow BF-05 – Consolidated Checkout, Payment &amp; Guest Feedback</t>
        </is>
      </c>
      <c r="D13" s="6" t="inlineStr">
        <is>
          <t>Xuân Hòa</t>
        </is>
      </c>
      <c r="E13" s="6" t="inlineStr">
        <is>
          <t>MEM-05</t>
        </is>
      </c>
      <c r="F13" s="6" t="inlineStr">
        <is>
          <t>Tăng Xuân Hòa</t>
        </is>
      </c>
      <c r="G13" s="6" t="inlineStr">
        <is>
          <t>M5 - Billing &amp; Checkout</t>
        </is>
      </c>
      <c r="H13" s="6" t="inlineStr">
        <is>
          <t>Simple</t>
        </is>
      </c>
      <c r="I13" s="6" t="inlineStr">
        <is>
          <t>Done</t>
        </is>
      </c>
      <c r="J13" s="6" t="inlineStr">
        <is>
          <t>Branches XH, XH4 (8 commits); commit ebaddc7 (7608 lines); harmonized in 9668586</t>
        </is>
      </c>
      <c r="K13" s="6" t="inlineStr">
        <is>
          <t>BillingFolioController, InvoiceExportController, CustomerReviewController, PdfGenerator</t>
        </is>
      </c>
      <c r="L13" s="6" t="inlineStr">
        <is>
          <t>48 backend tests in M5BillingAndCheckoutTests</t>
        </is>
      </c>
      <c r="M13" s="8" t="inlineStr">
        <is>
          <t>MATCHED</t>
        </is>
      </c>
      <c r="N13" s="6" t="inlineStr">
        <is>
          <t>COMPLETED_VERIFIED</t>
        </is>
      </c>
      <c r="O13" s="6" t="inlineStr">
        <is>
          <t>Financial billing engine verified; post-merge harmonization eliminated duplicate entities</t>
        </is>
      </c>
      <c r="P13" s="6" t="inlineStr">
        <is>
          <t>Official Plan Row 15 (Task_Project_G1_IS2005.xlsx)</t>
        </is>
      </c>
    </row>
    <row r="14" ht="20" customHeight="1">
      <c r="A14" s="5" t="inlineStr">
        <is>
          <t>16</t>
        </is>
      </c>
      <c r="B14" s="5" t="inlineStr">
        <is>
          <t>2.2.6</t>
        </is>
      </c>
      <c r="C14" s="5" t="inlineStr">
        <is>
          <t>Draw Main Business Flow BF-06 – System Administration, Permission &amp; Management Monitoring</t>
        </is>
      </c>
      <c r="D14" s="5" t="inlineStr">
        <is>
          <t>Thành Vinh</t>
        </is>
      </c>
      <c r="E14" s="5" t="inlineStr">
        <is>
          <t>MEM-06</t>
        </is>
      </c>
      <c r="F14" s="5" t="inlineStr">
        <is>
          <t>Phạm Thành Vinh</t>
        </is>
      </c>
      <c r="G14" s="5" t="inlineStr">
        <is>
          <t>M6 - Admin &amp; Governance</t>
        </is>
      </c>
      <c r="H14" s="5" t="inlineStr">
        <is>
          <t>Simple</t>
        </is>
      </c>
      <c r="I14" s="5" t="inlineStr">
        <is>
          <t>Done</t>
        </is>
      </c>
      <c r="J14" s="5" t="inlineStr">
        <is>
          <t>Branches vinhpt, vinhpt1 (22 commits); merged in 39b086f; test fix 1f7ebc1</t>
        </is>
      </c>
      <c r="K14" s="5" t="inlineStr">
        <is>
          <t>VillaManagementPage.tsx (2765 lines), SpaManagementPage.tsx (1843 lines), 11 operational modals</t>
        </is>
      </c>
      <c r="L14" s="5" t="inlineStr">
        <is>
          <t>49 backend tests in M6 (M6AdminIntegrationTests, DelegationServiceTest)</t>
        </is>
      </c>
      <c r="M14" s="8" t="inlineStr">
        <is>
          <t>MATCHED</t>
        </is>
      </c>
      <c r="N14" s="5" t="inlineStr">
        <is>
          <t>COMPLETED_VERIFIED</t>
        </is>
      </c>
      <c r="O14" s="5" t="inlineStr">
        <is>
          <t>Extensive frontend management UI and backend governance verified</t>
        </is>
      </c>
      <c r="P14" s="5" t="inlineStr">
        <is>
          <t>Official Plan Row 16 (Task_Project_G1_IS2005.xlsx)</t>
        </is>
      </c>
    </row>
    <row r="15" ht="20" customHeight="1">
      <c r="A15" s="6" t="inlineStr">
        <is>
          <t>17</t>
        </is>
      </c>
      <c r="B15" s="6" t="inlineStr">
        <is>
          <t>3</t>
        </is>
      </c>
      <c r="C15" s="6" t="inlineStr">
        <is>
          <t>System Design_P1</t>
        </is>
      </c>
      <c r="D15" s="6" t="inlineStr">
        <is>
          <t>UNASSIGNED</t>
        </is>
      </c>
      <c r="E15" s="6" t="inlineStr">
        <is>
          <t>UNASSIGNED</t>
        </is>
      </c>
      <c r="F15" s="6" t="inlineStr">
        <is>
          <t>Unassigned / Milestone Header</t>
        </is>
      </c>
      <c r="G15" s="6" t="inlineStr">
        <is>
          <t>Cross-Module</t>
        </is>
      </c>
      <c r="H15" s="6" t="inlineStr">
        <is>
          <t>Unspecified</t>
        </is>
      </c>
      <c r="I15" s="6" t="inlineStr">
        <is>
          <t>Done</t>
        </is>
      </c>
      <c r="J15" s="6" t="inlineStr">
        <is>
          <t>N/A (Milestone/Section Grouping Container)</t>
        </is>
      </c>
      <c r="K15" s="6" t="inlineStr">
        <is>
          <t>Organizational milestone or phase umbrella header</t>
        </is>
      </c>
      <c r="L15" s="6" t="inlineStr">
        <is>
          <t>N/A</t>
        </is>
      </c>
      <c r="M15" s="6" t="inlineStr">
        <is>
          <t>UNASSIGNED</t>
        </is>
      </c>
      <c r="N15" s="6" t="inlineStr">
        <is>
          <t>NOT_ASSESSABLE</t>
        </is>
      </c>
      <c r="O15" s="6" t="inlineStr">
        <is>
          <t>Milestone structure verified in planning baseline</t>
        </is>
      </c>
      <c r="P15" s="6" t="inlineStr">
        <is>
          <t>Official Plan Row 17 (Task_Project_G1_IS2005.xlsx)</t>
        </is>
      </c>
    </row>
    <row r="16" ht="20" customHeight="1">
      <c r="A16" s="5" t="inlineStr">
        <is>
          <t>18</t>
        </is>
      </c>
      <c r="B16" s="5" t="inlineStr">
        <is>
          <t>3.1</t>
        </is>
      </c>
      <c r="C16" s="5" t="inlineStr">
        <is>
          <t>Draw Context Diagram</t>
        </is>
      </c>
      <c r="D16" s="5" t="inlineStr">
        <is>
          <t>All</t>
        </is>
      </c>
      <c r="E16" s="5" t="inlineStr">
        <is>
          <t>ALL</t>
        </is>
      </c>
      <c r="F16" s="5" t="inlineStr">
        <is>
          <t>All Team Members</t>
        </is>
      </c>
      <c r="G16" s="5" t="inlineStr">
        <is>
          <t>Cross-Module / Shared Foundation</t>
        </is>
      </c>
      <c r="H16" s="5" t="inlineStr">
        <is>
          <t>Medium</t>
        </is>
      </c>
      <c r="I16" s="5" t="inlineStr">
        <is>
          <t>Done</t>
        </is>
      </c>
      <c r="J16" s="5" t="inlineStr">
        <is>
          <t>Branch origin/main; commits by team in docs, shared configs, reports</t>
        </is>
      </c>
      <c r="K16" s="5" t="inlineStr">
        <is>
          <t>Shared project documentation, architecture schemas, and requirement specifications</t>
        </is>
      </c>
      <c r="L16" s="5" t="inlineStr">
        <is>
          <t>Shared verification test suites (252 shared backend tests)</t>
        </is>
      </c>
      <c r="M16" s="8" t="inlineStr">
        <is>
          <t>MATCHED</t>
        </is>
      </c>
      <c r="N16" s="5" t="inlineStr">
        <is>
          <t>COMPLETED_VERIFIED</t>
        </is>
      </c>
      <c r="O16" s="5" t="inlineStr">
        <is>
          <t>Verified as collaborative shared foundation task</t>
        </is>
      </c>
      <c r="P16" s="5" t="inlineStr">
        <is>
          <t>Official Plan Row 18 (Task_Project_G1_IS2005.xlsx)</t>
        </is>
      </c>
    </row>
    <row r="17" ht="20" customHeight="1">
      <c r="A17" s="6" t="inlineStr">
        <is>
          <t>19</t>
        </is>
      </c>
      <c r="B17" s="6" t="inlineStr">
        <is>
          <t>3.2.1</t>
        </is>
      </c>
      <c r="C17" s="6" t="inlineStr">
        <is>
          <t>Draw Use Case Diagram - M1 (Authentication &amp; Health Profile)</t>
        </is>
      </c>
      <c r="D17" s="6" t="inlineStr">
        <is>
          <t>Đức Hoàng</t>
        </is>
      </c>
      <c r="E17" s="6" t="inlineStr">
        <is>
          <t>MEM-01</t>
        </is>
      </c>
      <c r="F17" s="6" t="inlineStr">
        <is>
          <t>Lê Đức Hoàng</t>
        </is>
      </c>
      <c r="G17" s="6" t="inlineStr">
        <is>
          <t>M1 - Identity &amp; Access</t>
        </is>
      </c>
      <c r="H17" s="6" t="inlineStr">
        <is>
          <t>Simple</t>
        </is>
      </c>
      <c r="I17" s="6" t="inlineStr">
        <is>
          <t>Done</t>
        </is>
      </c>
      <c r="J17" s="6" t="inlineStr">
        <is>
          <t>Branch DucHoangM1 (13 commits); merged in 602c6f8</t>
        </is>
      </c>
      <c r="K17" s="6" t="inlineStr">
        <is>
          <t>AuthController, CustomerProfileController, GdprController, UserDetailsServiceImpl</t>
        </is>
      </c>
      <c r="L17" s="6" t="inlineStr">
        <is>
          <t>77 backend tests in M1; mocked Google/Facebook SSO slices</t>
        </is>
      </c>
      <c r="M17" s="8" t="inlineStr">
        <is>
          <t>MATCHED</t>
        </is>
      </c>
      <c r="N17" s="6" t="inlineStr">
        <is>
          <t>COMPLETED_VERIFIED</t>
        </is>
      </c>
      <c r="O17" s="6" t="inlineStr">
        <is>
          <t>Implementation verified in code; external SSO/OTP live callbacks require staging (GAP-02, GAP-08)</t>
        </is>
      </c>
      <c r="P17" s="6" t="inlineStr">
        <is>
          <t>Official Plan Row 19 (Task_Project_G1_IS2005.xlsx)</t>
        </is>
      </c>
    </row>
    <row r="18" ht="20" customHeight="1">
      <c r="A18" s="5" t="inlineStr">
        <is>
          <t>20</t>
        </is>
      </c>
      <c r="B18" s="5" t="inlineStr">
        <is>
          <t>3.2.2</t>
        </is>
      </c>
      <c r="C18" s="5" t="inlineStr">
        <is>
          <t>Draw Use Case Diagram - M2 (Retreat Booking &amp; Accommodation)</t>
        </is>
      </c>
      <c r="D18" s="5" t="inlineStr">
        <is>
          <t>Gia Đạt</t>
        </is>
      </c>
      <c r="E18" s="5" t="inlineStr">
        <is>
          <t>MEM-02</t>
        </is>
      </c>
      <c r="F18" s="5" t="inlineStr">
        <is>
          <t>Nguyễn Gia Đạt</t>
        </is>
      </c>
      <c r="G18" s="5" t="inlineStr">
        <is>
          <t>M2 - Booking &amp; Reservation</t>
        </is>
      </c>
      <c r="H18" s="5" t="inlineStr">
        <is>
          <t>Simple</t>
        </is>
      </c>
      <c r="I18" s="5" t="inlineStr">
        <is>
          <t>Done</t>
        </is>
      </c>
      <c r="J18" s="5" t="inlineStr">
        <is>
          <t>Branch dat-nguyen-gia (8 commits); commit 4bd4ecd (3417 lines); merged in 0f257ad</t>
        </is>
      </c>
      <c r="K18" s="5" t="inlineStr">
        <is>
          <t>RetreatPackageController, ReceptionistOperationController, BookingController, VNPayClient</t>
        </is>
      </c>
      <c r="L18" s="5" t="inlineStr">
        <is>
          <t>34 backend tests in M2 (ReceptionistOperationServiceTest)</t>
        </is>
      </c>
      <c r="M18" s="8" t="inlineStr">
        <is>
          <t>MATCHED</t>
        </is>
      </c>
      <c r="N18" s="5" t="inlineStr">
        <is>
          <t>COMPLETED_VERIFIED</t>
        </is>
      </c>
      <c r="O18" s="5" t="inlineStr">
        <is>
          <t>Core workflow verified in code; live VNPay IPN webhook callbacks require staging (GAP-01)</t>
        </is>
      </c>
      <c r="P18" s="5" t="inlineStr">
        <is>
          <t>Official Plan Row 20 (Task_Project_G1_IS2005.xlsx)</t>
        </is>
      </c>
    </row>
    <row r="19" ht="20" customHeight="1">
      <c r="A19" s="6" t="inlineStr">
        <is>
          <t>21</t>
        </is>
      </c>
      <c r="B19" s="6" t="inlineStr">
        <is>
          <t>3.2.3</t>
        </is>
      </c>
      <c r="C19" s="6" t="inlineStr">
        <is>
          <t>Draw Use Case Diagram - M3 (Spa Scheduling (CORE))</t>
        </is>
      </c>
      <c r="D19" s="6" t="inlineStr">
        <is>
          <t>Tất Đạt</t>
        </is>
      </c>
      <c r="E19" s="6" t="inlineStr">
        <is>
          <t>MEM-03</t>
        </is>
      </c>
      <c r="F19" s="6" t="inlineStr">
        <is>
          <t>Nguyễn Tất Đạt</t>
        </is>
      </c>
      <c r="G19" s="6" t="inlineStr">
        <is>
          <t>M3 - Spa &amp; Shared Infrastructure</t>
        </is>
      </c>
      <c r="H19" s="6" t="inlineStr">
        <is>
          <t>Simple</t>
        </is>
      </c>
      <c r="I19" s="6" t="inlineStr">
        <is>
          <t>Done</t>
        </is>
      </c>
      <c r="J19" s="6" t="inlineStr">
        <is>
          <t>Branch NTDatZB (102 commits); merge commits 602c6f8, 0f257ad, 6ff5b9a, 39b086f, 9668586, 1f7ebc1</t>
        </is>
      </c>
      <c r="K19" s="6" t="inlineStr">
        <is>
          <t>SpaTreatmentController, SpaBookingService, CustomerStayPort, SecurityConfig, Design Tokens</t>
        </is>
      </c>
      <c r="L19" s="6" t="inlineStr">
        <is>
          <t>24 M3 tests + 252 shared infra tests (242 passed, 10 skipped live DB)</t>
        </is>
      </c>
      <c r="M19" s="8" t="inlineStr">
        <is>
          <t>MATCHED</t>
        </is>
      </c>
      <c r="N19" s="6" t="inlineStr">
        <is>
          <t>COMPLETED_VERIFIED</t>
        </is>
      </c>
      <c r="O19" s="6" t="inlineStr">
        <is>
          <t>Technical leadership, shared infrastructure, and spa operations verified</t>
        </is>
      </c>
      <c r="P19" s="6" t="inlineStr">
        <is>
          <t>Official Plan Row 21 (Task_Project_G1_IS2005.xlsx)</t>
        </is>
      </c>
    </row>
    <row r="20" ht="20" customHeight="1">
      <c r="A20" s="5" t="inlineStr">
        <is>
          <t>22</t>
        </is>
      </c>
      <c r="B20" s="5" t="inlineStr">
        <is>
          <t>3.2.4</t>
        </is>
      </c>
      <c r="C20" s="5" t="inlineStr">
        <is>
          <t>Draw Use Case Diagram - M4 (F&amp;B Nutrition (CORE))</t>
        </is>
      </c>
      <c r="D20" s="5" t="inlineStr">
        <is>
          <t>Phương Thảo</t>
        </is>
      </c>
      <c r="E20" s="5" t="inlineStr">
        <is>
          <t>MEM-04</t>
        </is>
      </c>
      <c r="F20" s="5" t="inlineStr">
        <is>
          <t>Vũ Phương Thảo</t>
        </is>
      </c>
      <c r="G20" s="5" t="inlineStr">
        <is>
          <t>M4 - Food &amp; Beverage</t>
        </is>
      </c>
      <c r="H20" s="5" t="inlineStr">
        <is>
          <t>Simple</t>
        </is>
      </c>
      <c r="I20" s="5" t="inlineStr">
        <is>
          <t>Done</t>
        </is>
      </c>
      <c r="J20" s="5" t="inlineStr">
        <is>
          <t>Branch thao-product (57 commits); merged in 6ff5b9a</t>
        </is>
      </c>
      <c r="K20" s="5" t="inlineStr">
        <is>
          <t>FnbMenuController, DailyMealOrderController, KdsKitchenController, InventoryGuard</t>
        </is>
      </c>
      <c r="L20" s="5" t="inlineStr">
        <is>
          <t>42 backend tests in M4 (MealOrderServiceTest, InventoryServiceTest)</t>
        </is>
      </c>
      <c r="M20" s="8" t="inlineStr">
        <is>
          <t>MATCHED</t>
        </is>
      </c>
      <c r="N20" s="5" t="inlineStr">
        <is>
          <t>COMPLETED_VERIFIED</t>
        </is>
      </c>
      <c r="O20" s="5" t="inlineStr">
        <is>
          <t>Granular implementation verified; KDS queue and inventory deductions tested</t>
        </is>
      </c>
      <c r="P20" s="5" t="inlineStr">
        <is>
          <t>Official Plan Row 22 (Task_Project_G1_IS2005.xlsx)</t>
        </is>
      </c>
    </row>
    <row r="21" ht="20" customHeight="1">
      <c r="A21" s="6" t="inlineStr">
        <is>
          <t>23</t>
        </is>
      </c>
      <c r="B21" s="6" t="inlineStr">
        <is>
          <t>3.2.5</t>
        </is>
      </c>
      <c r="C21" s="6" t="inlineStr">
        <is>
          <t>Draw Use Case Diagram - M5 (Checkout &amp; Analytics)</t>
        </is>
      </c>
      <c r="D21" s="6" t="inlineStr">
        <is>
          <t>Xuân Hòa</t>
        </is>
      </c>
      <c r="E21" s="6" t="inlineStr">
        <is>
          <t>MEM-05</t>
        </is>
      </c>
      <c r="F21" s="6" t="inlineStr">
        <is>
          <t>Tăng Xuân Hòa</t>
        </is>
      </c>
      <c r="G21" s="6" t="inlineStr">
        <is>
          <t>M5 - Billing &amp; Checkout</t>
        </is>
      </c>
      <c r="H21" s="6" t="inlineStr">
        <is>
          <t>Simple</t>
        </is>
      </c>
      <c r="I21" s="6" t="inlineStr">
        <is>
          <t>Done</t>
        </is>
      </c>
      <c r="J21" s="6" t="inlineStr">
        <is>
          <t>Branches XH, XH4 (8 commits); commit ebaddc7 (7608 lines); harmonized in 9668586</t>
        </is>
      </c>
      <c r="K21" s="6" t="inlineStr">
        <is>
          <t>BillingFolioController, InvoiceExportController, CustomerReviewController, PdfGenerator</t>
        </is>
      </c>
      <c r="L21" s="6" t="inlineStr">
        <is>
          <t>48 backend tests in M5BillingAndCheckoutTests</t>
        </is>
      </c>
      <c r="M21" s="8" t="inlineStr">
        <is>
          <t>MATCHED</t>
        </is>
      </c>
      <c r="N21" s="6" t="inlineStr">
        <is>
          <t>COMPLETED_VERIFIED</t>
        </is>
      </c>
      <c r="O21" s="6" t="inlineStr">
        <is>
          <t>Financial billing engine verified; post-merge harmonization eliminated duplicate entities</t>
        </is>
      </c>
      <c r="P21" s="6" t="inlineStr">
        <is>
          <t>Official Plan Row 23 (Task_Project_G1_IS2005.xlsx)</t>
        </is>
      </c>
    </row>
    <row r="22" ht="20" customHeight="1">
      <c r="A22" s="5" t="inlineStr">
        <is>
          <t>24</t>
        </is>
      </c>
      <c r="B22" s="5" t="inlineStr">
        <is>
          <t>3.2.6</t>
        </is>
      </c>
      <c r="C22" s="5" t="inlineStr">
        <is>
          <t>Draw Use Case Diagram - M6 (System Administration &amp; Permission Management)</t>
        </is>
      </c>
      <c r="D22" s="5" t="inlineStr">
        <is>
          <t>Thành Vinh</t>
        </is>
      </c>
      <c r="E22" s="5" t="inlineStr">
        <is>
          <t>MEM-06</t>
        </is>
      </c>
      <c r="F22" s="5" t="inlineStr">
        <is>
          <t>Phạm Thành Vinh</t>
        </is>
      </c>
      <c r="G22" s="5" t="inlineStr">
        <is>
          <t>M6 - Admin &amp; Governance</t>
        </is>
      </c>
      <c r="H22" s="5" t="inlineStr">
        <is>
          <t>Simple</t>
        </is>
      </c>
      <c r="I22" s="5" t="inlineStr">
        <is>
          <t>Done</t>
        </is>
      </c>
      <c r="J22" s="5" t="inlineStr">
        <is>
          <t>Branches vinhpt, vinhpt1 (22 commits); merged in 39b086f; test fix 1f7ebc1</t>
        </is>
      </c>
      <c r="K22" s="5" t="inlineStr">
        <is>
          <t>VillaManagementPage.tsx (2765 lines), SpaManagementPage.tsx (1843 lines), 11 operational modals</t>
        </is>
      </c>
      <c r="L22" s="5" t="inlineStr">
        <is>
          <t>49 backend tests in M6 (M6AdminIntegrationTests, DelegationServiceTest)</t>
        </is>
      </c>
      <c r="M22" s="8" t="inlineStr">
        <is>
          <t>MATCHED</t>
        </is>
      </c>
      <c r="N22" s="5" t="inlineStr">
        <is>
          <t>COMPLETED_VERIFIED</t>
        </is>
      </c>
      <c r="O22" s="5" t="inlineStr">
        <is>
          <t>Extensive frontend management UI and backend governance verified</t>
        </is>
      </c>
      <c r="P22" s="5" t="inlineStr">
        <is>
          <t>Official Plan Row 24 (Task_Project_G1_IS2005.xlsx)</t>
        </is>
      </c>
    </row>
    <row r="23" ht="20" customHeight="1">
      <c r="A23" s="6" t="inlineStr">
        <is>
          <t>25</t>
        </is>
      </c>
      <c r="B23" s="6" t="inlineStr">
        <is>
          <t>3</t>
        </is>
      </c>
      <c r="C23" s="6" t="inlineStr">
        <is>
          <t>System Design_P2 &amp; SRS Completion</t>
        </is>
      </c>
      <c r="D23" s="6" t="inlineStr">
        <is>
          <t>UNASSIGNED</t>
        </is>
      </c>
      <c r="E23" s="6" t="inlineStr">
        <is>
          <t>UNASSIGNED</t>
        </is>
      </c>
      <c r="F23" s="6" t="inlineStr">
        <is>
          <t>Unassigned / Milestone Header</t>
        </is>
      </c>
      <c r="G23" s="6" t="inlineStr">
        <is>
          <t>Cross-Module</t>
        </is>
      </c>
      <c r="H23" s="6" t="inlineStr">
        <is>
          <t>Unspecified</t>
        </is>
      </c>
      <c r="I23" s="6" t="inlineStr">
        <is>
          <t>Done</t>
        </is>
      </c>
      <c r="J23" s="6" t="inlineStr">
        <is>
          <t>N/A (Milestone/Section Grouping Container)</t>
        </is>
      </c>
      <c r="K23" s="6" t="inlineStr">
        <is>
          <t>Organizational milestone or phase umbrella header</t>
        </is>
      </c>
      <c r="L23" s="6" t="inlineStr">
        <is>
          <t>N/A</t>
        </is>
      </c>
      <c r="M23" s="6" t="inlineStr">
        <is>
          <t>UNASSIGNED</t>
        </is>
      </c>
      <c r="N23" s="6" t="inlineStr">
        <is>
          <t>NOT_ASSESSABLE</t>
        </is>
      </c>
      <c r="O23" s="6" t="inlineStr">
        <is>
          <t>Milestone structure verified in planning baseline</t>
        </is>
      </c>
      <c r="P23" s="6" t="inlineStr">
        <is>
          <t>Official Plan Row 25 (Task_Project_G1_IS2005.xlsx)</t>
        </is>
      </c>
    </row>
    <row r="24" ht="20" customHeight="1">
      <c r="A24" s="5" t="inlineStr">
        <is>
          <t>26</t>
        </is>
      </c>
      <c r="B24" s="5" t="inlineStr">
        <is>
          <t>3.3.1</t>
        </is>
      </c>
      <c r="C24" s="5" t="inlineStr">
        <is>
          <t>Build Screen Flow Fragment - M1 Authentication &amp; Health Profile (Screens 1-12)</t>
        </is>
      </c>
      <c r="D24" s="5" t="inlineStr">
        <is>
          <t>Đức Hoàng</t>
        </is>
      </c>
      <c r="E24" s="5" t="inlineStr">
        <is>
          <t>MEM-01</t>
        </is>
      </c>
      <c r="F24" s="5" t="inlineStr">
        <is>
          <t>Lê Đức Hoàng</t>
        </is>
      </c>
      <c r="G24" s="5" t="inlineStr">
        <is>
          <t>M1 - Identity &amp; Access</t>
        </is>
      </c>
      <c r="H24" s="5" t="inlineStr">
        <is>
          <t>Simple</t>
        </is>
      </c>
      <c r="I24" s="5" t="inlineStr">
        <is>
          <t>Done</t>
        </is>
      </c>
      <c r="J24" s="5" t="inlineStr">
        <is>
          <t>Branch DucHoangM1 (13 commits); merged in 602c6f8</t>
        </is>
      </c>
      <c r="K24" s="5" t="inlineStr">
        <is>
          <t>AuthController, CustomerProfileController, GdprController, UserDetailsServiceImpl</t>
        </is>
      </c>
      <c r="L24" s="5" t="inlineStr">
        <is>
          <t>77 backend tests in M1; mocked Google/Facebook SSO slices</t>
        </is>
      </c>
      <c r="M24" s="8" t="inlineStr">
        <is>
          <t>MATCHED</t>
        </is>
      </c>
      <c r="N24" s="5" t="inlineStr">
        <is>
          <t>COMPLETED_VERIFIED</t>
        </is>
      </c>
      <c r="O24" s="5" t="inlineStr">
        <is>
          <t>Implementation verified in code; external SSO/OTP live callbacks require staging (GAP-02, GAP-08)</t>
        </is>
      </c>
      <c r="P24" s="5" t="inlineStr">
        <is>
          <t>Official Plan Row 26 (Task_Project_G1_IS2005.xlsx)</t>
        </is>
      </c>
    </row>
    <row r="25" ht="20" customHeight="1">
      <c r="A25" s="6" t="inlineStr">
        <is>
          <t>27</t>
        </is>
      </c>
      <c r="B25" s="6" t="inlineStr">
        <is>
          <t>3.4.2</t>
        </is>
      </c>
      <c r="C25" s="6" t="inlineStr">
        <is>
          <t>Build Screen Flow Fragment - M2 Retreat Booking &amp; Accommodation (Screens 13-24)</t>
        </is>
      </c>
      <c r="D25" s="6" t="inlineStr">
        <is>
          <t>Gia Đạt</t>
        </is>
      </c>
      <c r="E25" s="6" t="inlineStr">
        <is>
          <t>MEM-02</t>
        </is>
      </c>
      <c r="F25" s="6" t="inlineStr">
        <is>
          <t>Nguyễn Gia Đạt</t>
        </is>
      </c>
      <c r="G25" s="6" t="inlineStr">
        <is>
          <t>M2 - Booking &amp; Reservation</t>
        </is>
      </c>
      <c r="H25" s="6" t="inlineStr">
        <is>
          <t>Simple</t>
        </is>
      </c>
      <c r="I25" s="6" t="inlineStr">
        <is>
          <t>Done</t>
        </is>
      </c>
      <c r="J25" s="6" t="inlineStr">
        <is>
          <t>Branch dat-nguyen-gia (8 commits); commit 4bd4ecd (3417 lines); merged in 0f257ad</t>
        </is>
      </c>
      <c r="K25" s="6" t="inlineStr">
        <is>
          <t>RetreatPackageController, ReceptionistOperationController, BookingController, VNPayClient</t>
        </is>
      </c>
      <c r="L25" s="6" t="inlineStr">
        <is>
          <t>34 backend tests in M2 (ReceptionistOperationServiceTest)</t>
        </is>
      </c>
      <c r="M25" s="8" t="inlineStr">
        <is>
          <t>MATCHED</t>
        </is>
      </c>
      <c r="N25" s="6" t="inlineStr">
        <is>
          <t>COMPLETED_VERIFIED</t>
        </is>
      </c>
      <c r="O25" s="6" t="inlineStr">
        <is>
          <t>Core workflow verified in code; live VNPay IPN webhook callbacks require staging (GAP-01)</t>
        </is>
      </c>
      <c r="P25" s="6" t="inlineStr">
        <is>
          <t>Official Plan Row 27 (Task_Project_G1_IS2005.xlsx)</t>
        </is>
      </c>
    </row>
    <row r="26" ht="20" customHeight="1">
      <c r="A26" s="5" t="inlineStr">
        <is>
          <t>28</t>
        </is>
      </c>
      <c r="B26" s="5" t="inlineStr">
        <is>
          <t>3.4.3</t>
        </is>
      </c>
      <c r="C26" s="5" t="inlineStr">
        <is>
          <t>Build Screen Flow Fragment - M3 Spa Scheduling (Screens 25-33)</t>
        </is>
      </c>
      <c r="D26" s="5" t="inlineStr">
        <is>
          <t>Tất Đạt</t>
        </is>
      </c>
      <c r="E26" s="5" t="inlineStr">
        <is>
          <t>MEM-03</t>
        </is>
      </c>
      <c r="F26" s="5" t="inlineStr">
        <is>
          <t>Nguyễn Tất Đạt</t>
        </is>
      </c>
      <c r="G26" s="5" t="inlineStr">
        <is>
          <t>M3 - Spa &amp; Shared Infrastructure</t>
        </is>
      </c>
      <c r="H26" s="5" t="inlineStr">
        <is>
          <t>Simple</t>
        </is>
      </c>
      <c r="I26" s="5" t="inlineStr">
        <is>
          <t>Done</t>
        </is>
      </c>
      <c r="J26" s="5" t="inlineStr">
        <is>
          <t>Branch NTDatZB (102 commits); merge commits 602c6f8, 0f257ad, 6ff5b9a, 39b086f, 9668586, 1f7ebc1</t>
        </is>
      </c>
      <c r="K26" s="5" t="inlineStr">
        <is>
          <t>SpaTreatmentController, SpaBookingService, CustomerStayPort, SecurityConfig, Design Tokens</t>
        </is>
      </c>
      <c r="L26" s="5" t="inlineStr">
        <is>
          <t>24 M3 tests + 252 shared infra tests (242 passed, 10 skipped live DB)</t>
        </is>
      </c>
      <c r="M26" s="8" t="inlineStr">
        <is>
          <t>MATCHED</t>
        </is>
      </c>
      <c r="N26" s="5" t="inlineStr">
        <is>
          <t>COMPLETED_VERIFIED</t>
        </is>
      </c>
      <c r="O26" s="5" t="inlineStr">
        <is>
          <t>Technical leadership, shared infrastructure, and spa operations verified</t>
        </is>
      </c>
      <c r="P26" s="5" t="inlineStr">
        <is>
          <t>Official Plan Row 28 (Task_Project_G1_IS2005.xlsx)</t>
        </is>
      </c>
    </row>
    <row r="27" ht="20" customHeight="1">
      <c r="A27" s="6" t="inlineStr">
        <is>
          <t>29</t>
        </is>
      </c>
      <c r="B27" s="6" t="inlineStr">
        <is>
          <t>3.4.4</t>
        </is>
      </c>
      <c r="C27" s="6" t="inlineStr">
        <is>
          <t>Build Screen Flow Fragment - M4 F&amp;B  (Screens 34-40)</t>
        </is>
      </c>
      <c r="D27" s="6" t="inlineStr">
        <is>
          <t>Phương Thảo</t>
        </is>
      </c>
      <c r="E27" s="6" t="inlineStr">
        <is>
          <t>MEM-04</t>
        </is>
      </c>
      <c r="F27" s="6" t="inlineStr">
        <is>
          <t>Vũ Phương Thảo</t>
        </is>
      </c>
      <c r="G27" s="6" t="inlineStr">
        <is>
          <t>M4 - Food &amp; Beverage</t>
        </is>
      </c>
      <c r="H27" s="6" t="inlineStr">
        <is>
          <t>Simple</t>
        </is>
      </c>
      <c r="I27" s="6" t="inlineStr">
        <is>
          <t>Done</t>
        </is>
      </c>
      <c r="J27" s="6" t="inlineStr">
        <is>
          <t>Branch thao-product (57 commits); merged in 6ff5b9a</t>
        </is>
      </c>
      <c r="K27" s="6" t="inlineStr">
        <is>
          <t>FnbMenuController, DailyMealOrderController, KdsKitchenController, InventoryGuard</t>
        </is>
      </c>
      <c r="L27" s="6" t="inlineStr">
        <is>
          <t>42 backend tests in M4 (MealOrderServiceTest, InventoryServiceTest)</t>
        </is>
      </c>
      <c r="M27" s="8" t="inlineStr">
        <is>
          <t>MATCHED</t>
        </is>
      </c>
      <c r="N27" s="6" t="inlineStr">
        <is>
          <t>COMPLETED_VERIFIED</t>
        </is>
      </c>
      <c r="O27" s="6" t="inlineStr">
        <is>
          <t>Granular implementation verified; KDS queue and inventory deductions tested</t>
        </is>
      </c>
      <c r="P27" s="6" t="inlineStr">
        <is>
          <t>Official Plan Row 29 (Task_Project_G1_IS2005.xlsx)</t>
        </is>
      </c>
    </row>
    <row r="28" ht="20" customHeight="1">
      <c r="A28" s="5" t="inlineStr">
        <is>
          <t>30</t>
        </is>
      </c>
      <c r="B28" s="5" t="inlineStr">
        <is>
          <t>3.4.5</t>
        </is>
      </c>
      <c r="C28" s="5" t="inlineStr">
        <is>
          <t>Build Screen Flow Fragment - M5 Checkout &amp; Analytics (Screens 41-48)</t>
        </is>
      </c>
      <c r="D28" s="5" t="inlineStr">
        <is>
          <t>Xuân Hòa</t>
        </is>
      </c>
      <c r="E28" s="5" t="inlineStr">
        <is>
          <t>MEM-05</t>
        </is>
      </c>
      <c r="F28" s="5" t="inlineStr">
        <is>
          <t>Tăng Xuân Hòa</t>
        </is>
      </c>
      <c r="G28" s="5" t="inlineStr">
        <is>
          <t>M5 - Billing &amp; Checkout</t>
        </is>
      </c>
      <c r="H28" s="5" t="inlineStr">
        <is>
          <t>Simple</t>
        </is>
      </c>
      <c r="I28" s="5" t="inlineStr">
        <is>
          <t>Done</t>
        </is>
      </c>
      <c r="J28" s="5" t="inlineStr">
        <is>
          <t>Branches XH, XH4 (8 commits); commit ebaddc7 (7608 lines); harmonized in 9668586</t>
        </is>
      </c>
      <c r="K28" s="5" t="inlineStr">
        <is>
          <t>BillingFolioController, InvoiceExportController, CustomerReviewController, PdfGenerator</t>
        </is>
      </c>
      <c r="L28" s="5" t="inlineStr">
        <is>
          <t>48 backend tests in M5BillingAndCheckoutTests</t>
        </is>
      </c>
      <c r="M28" s="8" t="inlineStr">
        <is>
          <t>MATCHED</t>
        </is>
      </c>
      <c r="N28" s="5" t="inlineStr">
        <is>
          <t>COMPLETED_VERIFIED</t>
        </is>
      </c>
      <c r="O28" s="5" t="inlineStr">
        <is>
          <t>Financial billing engine verified; post-merge harmonization eliminated duplicate entities</t>
        </is>
      </c>
      <c r="P28" s="5" t="inlineStr">
        <is>
          <t>Official Plan Row 30 (Task_Project_G1_IS2005.xlsx)</t>
        </is>
      </c>
    </row>
    <row r="29" ht="20" customHeight="1">
      <c r="A29" s="6" t="inlineStr">
        <is>
          <t>31</t>
        </is>
      </c>
      <c r="B29" s="6" t="inlineStr">
        <is>
          <t>3.4.6</t>
        </is>
      </c>
      <c r="C29" s="6" t="inlineStr">
        <is>
          <t>Build Screen Flow Fragment - M6 Administration &amp; Permission (Screens 49-56)</t>
        </is>
      </c>
      <c r="D29" s="6" t="inlineStr">
        <is>
          <t>Thành Vinh</t>
        </is>
      </c>
      <c r="E29" s="6" t="inlineStr">
        <is>
          <t>MEM-06</t>
        </is>
      </c>
      <c r="F29" s="6" t="inlineStr">
        <is>
          <t>Phạm Thành Vinh</t>
        </is>
      </c>
      <c r="G29" s="6" t="inlineStr">
        <is>
          <t>M6 - Admin &amp; Governance</t>
        </is>
      </c>
      <c r="H29" s="6" t="inlineStr">
        <is>
          <t>Simple</t>
        </is>
      </c>
      <c r="I29" s="6" t="inlineStr">
        <is>
          <t>Done</t>
        </is>
      </c>
      <c r="J29" s="6" t="inlineStr">
        <is>
          <t>Branches vinhpt, vinhpt1 (22 commits); merged in 39b086f; test fix 1f7ebc1</t>
        </is>
      </c>
      <c r="K29" s="6" t="inlineStr">
        <is>
          <t>VillaManagementPage.tsx (2765 lines), SpaManagementPage.tsx (1843 lines), 11 operational modals</t>
        </is>
      </c>
      <c r="L29" s="6" t="inlineStr">
        <is>
          <t>49 backend tests in M6 (M6AdminIntegrationTests, DelegationServiceTest)</t>
        </is>
      </c>
      <c r="M29" s="8" t="inlineStr">
        <is>
          <t>MATCHED</t>
        </is>
      </c>
      <c r="N29" s="6" t="inlineStr">
        <is>
          <t>COMPLETED_VERIFIED</t>
        </is>
      </c>
      <c r="O29" s="6" t="inlineStr">
        <is>
          <t>Extensive frontend management UI and backend governance verified</t>
        </is>
      </c>
      <c r="P29" s="6" t="inlineStr">
        <is>
          <t>Official Plan Row 31 (Task_Project_G1_IS2005.xlsx)</t>
        </is>
      </c>
    </row>
    <row r="30" ht="20" customHeight="1">
      <c r="A30" s="5" t="inlineStr">
        <is>
          <t>32</t>
        </is>
      </c>
      <c r="B30" s="5" t="inlineStr">
        <is>
          <t>3.4.7</t>
        </is>
      </c>
      <c r="C30" s="5" t="inlineStr">
        <is>
          <t>Merge Master Project Screen Flow</t>
        </is>
      </c>
      <c r="D30" s="5" t="inlineStr">
        <is>
          <t>All</t>
        </is>
      </c>
      <c r="E30" s="5" t="inlineStr">
        <is>
          <t>ALL</t>
        </is>
      </c>
      <c r="F30" s="5" t="inlineStr">
        <is>
          <t>All Team Members</t>
        </is>
      </c>
      <c r="G30" s="5" t="inlineStr">
        <is>
          <t>Cross-Module / Shared Foundation</t>
        </is>
      </c>
      <c r="H30" s="5" t="inlineStr">
        <is>
          <t>Medium</t>
        </is>
      </c>
      <c r="I30" s="5" t="inlineStr">
        <is>
          <t>Done</t>
        </is>
      </c>
      <c r="J30" s="5" t="inlineStr">
        <is>
          <t>Branch origin/main; commits by team in docs, shared configs, reports</t>
        </is>
      </c>
      <c r="K30" s="5" t="inlineStr">
        <is>
          <t>Shared project documentation, architecture schemas, and requirement specifications</t>
        </is>
      </c>
      <c r="L30" s="5" t="inlineStr">
        <is>
          <t>Shared verification test suites (252 shared backend tests)</t>
        </is>
      </c>
      <c r="M30" s="8" t="inlineStr">
        <is>
          <t>MATCHED</t>
        </is>
      </c>
      <c r="N30" s="5" t="inlineStr">
        <is>
          <t>COMPLETED_VERIFIED</t>
        </is>
      </c>
      <c r="O30" s="5" t="inlineStr">
        <is>
          <t>Verified as collaborative shared foundation task</t>
        </is>
      </c>
      <c r="P30" s="5" t="inlineStr">
        <is>
          <t>Official Plan Row 32 (Task_Project_G1_IS2005.xlsx)</t>
        </is>
      </c>
    </row>
    <row r="31" ht="20" customHeight="1">
      <c r="A31" s="6" t="inlineStr">
        <is>
          <t>33</t>
        </is>
      </c>
      <c r="B31" s="6" t="inlineStr">
        <is>
          <t>3.5</t>
        </is>
      </c>
      <c r="C31" s="6" t="inlineStr">
        <is>
          <t>Design HSWRMS UI &amp; Interactive Prototype based on Finalized Screen Flow</t>
        </is>
      </c>
      <c r="D31" s="6" t="inlineStr">
        <is>
          <t>Tất Đạt</t>
        </is>
      </c>
      <c r="E31" s="6" t="inlineStr">
        <is>
          <t>MEM-03</t>
        </is>
      </c>
      <c r="F31" s="6" t="inlineStr">
        <is>
          <t>Nguyễn Tất Đạt</t>
        </is>
      </c>
      <c r="G31" s="6" t="inlineStr">
        <is>
          <t>M3 - Spa &amp; Shared Infrastructure</t>
        </is>
      </c>
      <c r="H31" s="6" t="inlineStr">
        <is>
          <t>Medium</t>
        </is>
      </c>
      <c r="I31" s="6" t="inlineStr">
        <is>
          <t>Done</t>
        </is>
      </c>
      <c r="J31" s="6" t="inlineStr">
        <is>
          <t>Branch NTDatZB (102 commits); merge commits 602c6f8, 0f257ad, 6ff5b9a, 39b086f, 9668586, 1f7ebc1</t>
        </is>
      </c>
      <c r="K31" s="6" t="inlineStr">
        <is>
          <t>SpaTreatmentController, SpaBookingService, CustomerStayPort, SecurityConfig, Design Tokens</t>
        </is>
      </c>
      <c r="L31" s="6" t="inlineStr">
        <is>
          <t>24 M3 tests + 252 shared infra tests (242 passed, 10 skipped live DB)</t>
        </is>
      </c>
      <c r="M31" s="8" t="inlineStr">
        <is>
          <t>MATCHED</t>
        </is>
      </c>
      <c r="N31" s="6" t="inlineStr">
        <is>
          <t>COMPLETED_VERIFIED</t>
        </is>
      </c>
      <c r="O31" s="6" t="inlineStr">
        <is>
          <t>Technical leadership, shared infrastructure, and spa operations verified</t>
        </is>
      </c>
      <c r="P31" s="6" t="inlineStr">
        <is>
          <t>Official Plan Row 33 (Task_Project_G1_IS2005.xlsx)</t>
        </is>
      </c>
    </row>
    <row r="32" ht="20" customHeight="1">
      <c r="A32" s="5" t="inlineStr">
        <is>
          <t>34</t>
        </is>
      </c>
      <c r="B32" s="5" t="inlineStr">
        <is>
          <t>3.5.1</t>
        </is>
      </c>
      <c r="C32" s="5" t="inlineStr">
        <is>
          <t>Draft Conceptual ERD Fragment - M1 Authentication &amp; Health Profile</t>
        </is>
      </c>
      <c r="D32" s="5" t="inlineStr">
        <is>
          <t>Đức Hoàng</t>
        </is>
      </c>
      <c r="E32" s="5" t="inlineStr">
        <is>
          <t>MEM-01</t>
        </is>
      </c>
      <c r="F32" s="5" t="inlineStr">
        <is>
          <t>Lê Đức Hoàng</t>
        </is>
      </c>
      <c r="G32" s="5" t="inlineStr">
        <is>
          <t>M1 - Identity &amp; Access</t>
        </is>
      </c>
      <c r="H32" s="5" t="inlineStr">
        <is>
          <t>Simple</t>
        </is>
      </c>
      <c r="I32" s="5" t="inlineStr">
        <is>
          <t>Done</t>
        </is>
      </c>
      <c r="J32" s="5" t="inlineStr">
        <is>
          <t>Branch DucHoangM1 (13 commits); merged in 602c6f8</t>
        </is>
      </c>
      <c r="K32" s="5" t="inlineStr">
        <is>
          <t>AuthController, CustomerProfileController, GdprController, UserDetailsServiceImpl</t>
        </is>
      </c>
      <c r="L32" s="5" t="inlineStr">
        <is>
          <t>77 backend tests in M1; mocked Google/Facebook SSO slices</t>
        </is>
      </c>
      <c r="M32" s="8" t="inlineStr">
        <is>
          <t>MATCHED</t>
        </is>
      </c>
      <c r="N32" s="5" t="inlineStr">
        <is>
          <t>COMPLETED_VERIFIED</t>
        </is>
      </c>
      <c r="O32" s="5" t="inlineStr">
        <is>
          <t>Implementation verified in code; external SSO/OTP live callbacks require staging (GAP-02, GAP-08)</t>
        </is>
      </c>
      <c r="P32" s="5" t="inlineStr">
        <is>
          <t>Official Plan Row 34 (Task_Project_G1_IS2005.xlsx)</t>
        </is>
      </c>
    </row>
    <row r="33" ht="20" customHeight="1">
      <c r="A33" s="6" t="inlineStr">
        <is>
          <t>35</t>
        </is>
      </c>
      <c r="B33" s="6" t="inlineStr">
        <is>
          <t>3.5.2</t>
        </is>
      </c>
      <c r="C33" s="6" t="inlineStr">
        <is>
          <t>Draft Conceptual ERD Fragment - M2 Retreat Booking &amp; Accommodation</t>
        </is>
      </c>
      <c r="D33" s="6" t="inlineStr">
        <is>
          <t>Gia Đạt</t>
        </is>
      </c>
      <c r="E33" s="6" t="inlineStr">
        <is>
          <t>MEM-02</t>
        </is>
      </c>
      <c r="F33" s="6" t="inlineStr">
        <is>
          <t>Nguyễn Gia Đạt</t>
        </is>
      </c>
      <c r="G33" s="6" t="inlineStr">
        <is>
          <t>M2 - Booking &amp; Reservation</t>
        </is>
      </c>
      <c r="H33" s="6" t="inlineStr">
        <is>
          <t>Simple</t>
        </is>
      </c>
      <c r="I33" s="6" t="inlineStr">
        <is>
          <t>Done</t>
        </is>
      </c>
      <c r="J33" s="6" t="inlineStr">
        <is>
          <t>Branch dat-nguyen-gia (8 commits); commit 4bd4ecd (3417 lines); merged in 0f257ad</t>
        </is>
      </c>
      <c r="K33" s="6" t="inlineStr">
        <is>
          <t>RetreatPackageController, ReceptionistOperationController, BookingController, VNPayClient</t>
        </is>
      </c>
      <c r="L33" s="6" t="inlineStr">
        <is>
          <t>34 backend tests in M2 (ReceptionistOperationServiceTest)</t>
        </is>
      </c>
      <c r="M33" s="8" t="inlineStr">
        <is>
          <t>MATCHED</t>
        </is>
      </c>
      <c r="N33" s="6" t="inlineStr">
        <is>
          <t>COMPLETED_VERIFIED</t>
        </is>
      </c>
      <c r="O33" s="6" t="inlineStr">
        <is>
          <t>Core workflow verified in code; live VNPay IPN webhook callbacks require staging (GAP-01)</t>
        </is>
      </c>
      <c r="P33" s="6" t="inlineStr">
        <is>
          <t>Official Plan Row 35 (Task_Project_G1_IS2005.xlsx)</t>
        </is>
      </c>
    </row>
    <row r="34" ht="20" customHeight="1">
      <c r="A34" s="5" t="inlineStr">
        <is>
          <t>36</t>
        </is>
      </c>
      <c r="B34" s="5" t="inlineStr">
        <is>
          <t>3.5.3</t>
        </is>
      </c>
      <c r="C34" s="5" t="inlineStr">
        <is>
          <t>Draft Conceptual ERD Fragment - M3 Spa Scheduling</t>
        </is>
      </c>
      <c r="D34" s="5" t="inlineStr">
        <is>
          <t>Tất Đạt</t>
        </is>
      </c>
      <c r="E34" s="5" t="inlineStr">
        <is>
          <t>MEM-03</t>
        </is>
      </c>
      <c r="F34" s="5" t="inlineStr">
        <is>
          <t>Nguyễn Tất Đạt</t>
        </is>
      </c>
      <c r="G34" s="5" t="inlineStr">
        <is>
          <t>M3 - Spa &amp; Shared Infrastructure</t>
        </is>
      </c>
      <c r="H34" s="5" t="inlineStr">
        <is>
          <t>Simple</t>
        </is>
      </c>
      <c r="I34" s="5" t="inlineStr">
        <is>
          <t>Done</t>
        </is>
      </c>
      <c r="J34" s="5" t="inlineStr">
        <is>
          <t>Branch NTDatZB (102 commits); merge commits 602c6f8, 0f257ad, 6ff5b9a, 39b086f, 9668586, 1f7ebc1</t>
        </is>
      </c>
      <c r="K34" s="5" t="inlineStr">
        <is>
          <t>SpaTreatmentController, SpaBookingService, CustomerStayPort, SecurityConfig, Design Tokens</t>
        </is>
      </c>
      <c r="L34" s="5" t="inlineStr">
        <is>
          <t>24 M3 tests + 252 shared infra tests (242 passed, 10 skipped live DB)</t>
        </is>
      </c>
      <c r="M34" s="8" t="inlineStr">
        <is>
          <t>MATCHED</t>
        </is>
      </c>
      <c r="N34" s="5" t="inlineStr">
        <is>
          <t>COMPLETED_VERIFIED</t>
        </is>
      </c>
      <c r="O34" s="5" t="inlineStr">
        <is>
          <t>Technical leadership, shared infrastructure, and spa operations verified</t>
        </is>
      </c>
      <c r="P34" s="5" t="inlineStr">
        <is>
          <t>Official Plan Row 36 (Task_Project_G1_IS2005.xlsx)</t>
        </is>
      </c>
    </row>
    <row r="35" ht="20" customHeight="1">
      <c r="A35" s="6" t="inlineStr">
        <is>
          <t>37</t>
        </is>
      </c>
      <c r="B35" s="6" t="inlineStr">
        <is>
          <t>3.5.4</t>
        </is>
      </c>
      <c r="C35" s="6" t="inlineStr">
        <is>
          <t>Draft Conceptual ERD Fragment - M4 F&amp;B Nutrition</t>
        </is>
      </c>
      <c r="D35" s="6" t="inlineStr">
        <is>
          <t>Phương Thảo</t>
        </is>
      </c>
      <c r="E35" s="6" t="inlineStr">
        <is>
          <t>MEM-04</t>
        </is>
      </c>
      <c r="F35" s="6" t="inlineStr">
        <is>
          <t>Vũ Phương Thảo</t>
        </is>
      </c>
      <c r="G35" s="6" t="inlineStr">
        <is>
          <t>M4 - Food &amp; Beverage</t>
        </is>
      </c>
      <c r="H35" s="6" t="inlineStr">
        <is>
          <t>Simple</t>
        </is>
      </c>
      <c r="I35" s="6" t="inlineStr">
        <is>
          <t>Done</t>
        </is>
      </c>
      <c r="J35" s="6" t="inlineStr">
        <is>
          <t>Branch thao-product (57 commits); merged in 6ff5b9a</t>
        </is>
      </c>
      <c r="K35" s="6" t="inlineStr">
        <is>
          <t>FnbMenuController, DailyMealOrderController, KdsKitchenController, InventoryGuard</t>
        </is>
      </c>
      <c r="L35" s="6" t="inlineStr">
        <is>
          <t>42 backend tests in M4 (MealOrderServiceTest, InventoryServiceTest)</t>
        </is>
      </c>
      <c r="M35" s="8" t="inlineStr">
        <is>
          <t>MATCHED</t>
        </is>
      </c>
      <c r="N35" s="6" t="inlineStr">
        <is>
          <t>COMPLETED_VERIFIED</t>
        </is>
      </c>
      <c r="O35" s="6" t="inlineStr">
        <is>
          <t>Granular implementation verified; KDS queue and inventory deductions tested</t>
        </is>
      </c>
      <c r="P35" s="6" t="inlineStr">
        <is>
          <t>Official Plan Row 37 (Task_Project_G1_IS2005.xlsx)</t>
        </is>
      </c>
    </row>
    <row r="36" ht="20" customHeight="1">
      <c r="A36" s="5" t="inlineStr">
        <is>
          <t>38</t>
        </is>
      </c>
      <c r="B36" s="5" t="inlineStr">
        <is>
          <t>3.5.5</t>
        </is>
      </c>
      <c r="C36" s="5" t="inlineStr">
        <is>
          <t>Draft ERD Fragment - M5 Checkout &amp; Analytics</t>
        </is>
      </c>
      <c r="D36" s="5" t="inlineStr">
        <is>
          <t>Xuân Hòa</t>
        </is>
      </c>
      <c r="E36" s="5" t="inlineStr">
        <is>
          <t>MEM-05</t>
        </is>
      </c>
      <c r="F36" s="5" t="inlineStr">
        <is>
          <t>Tăng Xuân Hòa</t>
        </is>
      </c>
      <c r="G36" s="5" t="inlineStr">
        <is>
          <t>M5 - Billing &amp; Checkout</t>
        </is>
      </c>
      <c r="H36" s="5" t="inlineStr">
        <is>
          <t>Simple</t>
        </is>
      </c>
      <c r="I36" s="5" t="inlineStr">
        <is>
          <t>Done</t>
        </is>
      </c>
      <c r="J36" s="5" t="inlineStr">
        <is>
          <t>Branches XH, XH4 (8 commits); commit ebaddc7 (7608 lines); harmonized in 9668586</t>
        </is>
      </c>
      <c r="K36" s="5" t="inlineStr">
        <is>
          <t>BillingFolioController, InvoiceExportController, CustomerReviewController, PdfGenerator</t>
        </is>
      </c>
      <c r="L36" s="5" t="inlineStr">
        <is>
          <t>48 backend tests in M5BillingAndCheckoutTests</t>
        </is>
      </c>
      <c r="M36" s="8" t="inlineStr">
        <is>
          <t>MATCHED</t>
        </is>
      </c>
      <c r="N36" s="5" t="inlineStr">
        <is>
          <t>COMPLETED_VERIFIED</t>
        </is>
      </c>
      <c r="O36" s="5" t="inlineStr">
        <is>
          <t>Financial billing engine verified; post-merge harmonization eliminated duplicate entities</t>
        </is>
      </c>
      <c r="P36" s="5" t="inlineStr">
        <is>
          <t>Official Plan Row 38 (Task_Project_G1_IS2005.xlsx)</t>
        </is>
      </c>
    </row>
    <row r="37" ht="20" customHeight="1">
      <c r="A37" s="6" t="inlineStr">
        <is>
          <t>39</t>
        </is>
      </c>
      <c r="B37" s="6" t="inlineStr">
        <is>
          <t>3.5.6</t>
        </is>
      </c>
      <c r="C37" s="6" t="inlineStr">
        <is>
          <t>Draft Conceptual ERD Fragment - M6 Administration &amp; Permission</t>
        </is>
      </c>
      <c r="D37" s="6" t="inlineStr">
        <is>
          <t>Thành Vinh</t>
        </is>
      </c>
      <c r="E37" s="6" t="inlineStr">
        <is>
          <t>MEM-06</t>
        </is>
      </c>
      <c r="F37" s="6" t="inlineStr">
        <is>
          <t>Phạm Thành Vinh</t>
        </is>
      </c>
      <c r="G37" s="6" t="inlineStr">
        <is>
          <t>M6 - Admin &amp; Governance</t>
        </is>
      </c>
      <c r="H37" s="6" t="inlineStr">
        <is>
          <t>Simple</t>
        </is>
      </c>
      <c r="I37" s="6" t="inlineStr">
        <is>
          <t>Done</t>
        </is>
      </c>
      <c r="J37" s="6" t="inlineStr">
        <is>
          <t>Branches vinhpt, vinhpt1 (22 commits); merged in 39b086f; test fix 1f7ebc1</t>
        </is>
      </c>
      <c r="K37" s="6" t="inlineStr">
        <is>
          <t>VillaManagementPage.tsx (2765 lines), SpaManagementPage.tsx (1843 lines), 11 operational modals</t>
        </is>
      </c>
      <c r="L37" s="6" t="inlineStr">
        <is>
          <t>49 backend tests in M6 (M6AdminIntegrationTests, DelegationServiceTest)</t>
        </is>
      </c>
      <c r="M37" s="8" t="inlineStr">
        <is>
          <t>MATCHED</t>
        </is>
      </c>
      <c r="N37" s="6" t="inlineStr">
        <is>
          <t>COMPLETED_VERIFIED</t>
        </is>
      </c>
      <c r="O37" s="6" t="inlineStr">
        <is>
          <t>Extensive frontend management UI and backend governance verified</t>
        </is>
      </c>
      <c r="P37" s="6" t="inlineStr">
        <is>
          <t>Official Plan Row 39 (Task_Project_G1_IS2005.xlsx)</t>
        </is>
      </c>
    </row>
    <row r="38" ht="20" customHeight="1">
      <c r="A38" s="5" t="inlineStr">
        <is>
          <t>40</t>
        </is>
      </c>
      <c r="B38" s="5" t="inlineStr">
        <is>
          <t>3.5.7</t>
        </is>
      </c>
      <c r="C38" s="5" t="inlineStr">
        <is>
          <t>Merge Unified Project ERD</t>
        </is>
      </c>
      <c r="D38" s="5" t="inlineStr">
        <is>
          <t>All</t>
        </is>
      </c>
      <c r="E38" s="5" t="inlineStr">
        <is>
          <t>ALL</t>
        </is>
      </c>
      <c r="F38" s="5" t="inlineStr">
        <is>
          <t>All Team Members</t>
        </is>
      </c>
      <c r="G38" s="5" t="inlineStr">
        <is>
          <t>Cross-Module / Shared Foundation</t>
        </is>
      </c>
      <c r="H38" s="5" t="inlineStr">
        <is>
          <t>Medium</t>
        </is>
      </c>
      <c r="I38" s="5" t="inlineStr">
        <is>
          <t>Done</t>
        </is>
      </c>
      <c r="J38" s="5" t="inlineStr">
        <is>
          <t>Branch origin/main; commits by team in docs, shared configs, reports</t>
        </is>
      </c>
      <c r="K38" s="5" t="inlineStr">
        <is>
          <t>Shared project documentation, architecture schemas, and requirement specifications</t>
        </is>
      </c>
      <c r="L38" s="5" t="inlineStr">
        <is>
          <t>Shared verification test suites (252 shared backend tests)</t>
        </is>
      </c>
      <c r="M38" s="8" t="inlineStr">
        <is>
          <t>MATCHED</t>
        </is>
      </c>
      <c r="N38" s="5" t="inlineStr">
        <is>
          <t>COMPLETED_VERIFIED</t>
        </is>
      </c>
      <c r="O38" s="5" t="inlineStr">
        <is>
          <t>Verified as collaborative shared foundation task</t>
        </is>
      </c>
      <c r="P38" s="5" t="inlineStr">
        <is>
          <t>Official Plan Row 40 (Task_Project_G1_IS2005.xlsx)</t>
        </is>
      </c>
    </row>
    <row r="39" ht="20" customHeight="1">
      <c r="A39" s="6" t="inlineStr">
        <is>
          <t>41</t>
        </is>
      </c>
      <c r="B39" s="6" t="inlineStr">
        <is>
          <t>3.6.1</t>
        </is>
      </c>
      <c r="C39" s="6" t="inlineStr">
        <is>
          <t>Complete SRS - M1 Functional Requirements + Entity Descriptions/Data Rules</t>
        </is>
      </c>
      <c r="D39" s="6" t="inlineStr">
        <is>
          <t>Đức Hoàng</t>
        </is>
      </c>
      <c r="E39" s="6" t="inlineStr">
        <is>
          <t>MEM-01</t>
        </is>
      </c>
      <c r="F39" s="6" t="inlineStr">
        <is>
          <t>Lê Đức Hoàng</t>
        </is>
      </c>
      <c r="G39" s="6" t="inlineStr">
        <is>
          <t>M1 - Identity &amp; Access</t>
        </is>
      </c>
      <c r="H39" s="6" t="inlineStr">
        <is>
          <t>Simple</t>
        </is>
      </c>
      <c r="I39" s="6" t="inlineStr">
        <is>
          <t>Done</t>
        </is>
      </c>
      <c r="J39" s="6" t="inlineStr">
        <is>
          <t>Branch DucHoangM1 (13 commits); merged in 602c6f8</t>
        </is>
      </c>
      <c r="K39" s="6" t="inlineStr">
        <is>
          <t>AuthController, CustomerProfileController, GdprController, UserDetailsServiceImpl</t>
        </is>
      </c>
      <c r="L39" s="6" t="inlineStr">
        <is>
          <t>77 backend tests in M1; mocked Google/Facebook SSO slices</t>
        </is>
      </c>
      <c r="M39" s="8" t="inlineStr">
        <is>
          <t>MATCHED</t>
        </is>
      </c>
      <c r="N39" s="6" t="inlineStr">
        <is>
          <t>COMPLETED_VERIFIED</t>
        </is>
      </c>
      <c r="O39" s="6" t="inlineStr">
        <is>
          <t>Implementation verified in code; external SSO/OTP live callbacks require staging (GAP-02, GAP-08)</t>
        </is>
      </c>
      <c r="P39" s="6" t="inlineStr">
        <is>
          <t>Official Plan Row 41 (Task_Project_G1_IS2005.xlsx)</t>
        </is>
      </c>
    </row>
    <row r="40" ht="20" customHeight="1">
      <c r="A40" s="5" t="inlineStr">
        <is>
          <t>42</t>
        </is>
      </c>
      <c r="B40" s="5" t="inlineStr">
        <is>
          <t>3.6.2</t>
        </is>
      </c>
      <c r="C40" s="5" t="inlineStr">
        <is>
          <t>Complete SRS - M2 Functional Requirements + External API Inventory</t>
        </is>
      </c>
      <c r="D40" s="5" t="inlineStr">
        <is>
          <t>Gia Đạt</t>
        </is>
      </c>
      <c r="E40" s="5" t="inlineStr">
        <is>
          <t>MEM-02</t>
        </is>
      </c>
      <c r="F40" s="5" t="inlineStr">
        <is>
          <t>Nguyễn Gia Đạt</t>
        </is>
      </c>
      <c r="G40" s="5" t="inlineStr">
        <is>
          <t>M2 - Booking &amp; Reservation</t>
        </is>
      </c>
      <c r="H40" s="5" t="inlineStr">
        <is>
          <t>Simple</t>
        </is>
      </c>
      <c r="I40" s="5" t="inlineStr">
        <is>
          <t>Done</t>
        </is>
      </c>
      <c r="J40" s="5" t="inlineStr">
        <is>
          <t>Branch dat-nguyen-gia (8 commits); commit 4bd4ecd (3417 lines); merged in 0f257ad</t>
        </is>
      </c>
      <c r="K40" s="5" t="inlineStr">
        <is>
          <t>RetreatPackageController, ReceptionistOperationController, BookingController, VNPayClient</t>
        </is>
      </c>
      <c r="L40" s="5" t="inlineStr">
        <is>
          <t>34 backend tests in M2 (ReceptionistOperationServiceTest)</t>
        </is>
      </c>
      <c r="M40" s="8" t="inlineStr">
        <is>
          <t>MATCHED</t>
        </is>
      </c>
      <c r="N40" s="5" t="inlineStr">
        <is>
          <t>COMPLETED_VERIFIED</t>
        </is>
      </c>
      <c r="O40" s="5" t="inlineStr">
        <is>
          <t>Core workflow verified in code; live VNPay IPN webhook callbacks require staging (GAP-01)</t>
        </is>
      </c>
      <c r="P40" s="5" t="inlineStr">
        <is>
          <t>Official Plan Row 42 (Task_Project_G1_IS2005.xlsx)</t>
        </is>
      </c>
    </row>
    <row r="41" ht="20" customHeight="1">
      <c r="A41" s="6" t="inlineStr">
        <is>
          <t>43</t>
        </is>
      </c>
      <c r="B41" s="6" t="inlineStr">
        <is>
          <t>3.6.3</t>
        </is>
      </c>
      <c r="C41" s="6" t="inlineStr">
        <is>
          <t>Complete SRS - M3 Functional Requirements + Background Jobs + Final Document Integration</t>
        </is>
      </c>
      <c r="D41" s="6" t="inlineStr">
        <is>
          <t>Tất Đạt</t>
        </is>
      </c>
      <c r="E41" s="6" t="inlineStr">
        <is>
          <t>MEM-03</t>
        </is>
      </c>
      <c r="F41" s="6" t="inlineStr">
        <is>
          <t>Nguyễn Tất Đạt</t>
        </is>
      </c>
      <c r="G41" s="6" t="inlineStr">
        <is>
          <t>M3 - Spa &amp; Shared Infrastructure</t>
        </is>
      </c>
      <c r="H41" s="6" t="inlineStr">
        <is>
          <t>Simple</t>
        </is>
      </c>
      <c r="I41" s="6" t="inlineStr">
        <is>
          <t>Done</t>
        </is>
      </c>
      <c r="J41" s="6" t="inlineStr">
        <is>
          <t>Branch NTDatZB (102 commits); merge commits 602c6f8, 0f257ad, 6ff5b9a, 39b086f, 9668586, 1f7ebc1</t>
        </is>
      </c>
      <c r="K41" s="6" t="inlineStr">
        <is>
          <t>SpaTreatmentController, SpaBookingService, CustomerStayPort, SecurityConfig, Design Tokens</t>
        </is>
      </c>
      <c r="L41" s="6" t="inlineStr">
        <is>
          <t>24 M3 tests + 252 shared infra tests (242 passed, 10 skipped live DB)</t>
        </is>
      </c>
      <c r="M41" s="8" t="inlineStr">
        <is>
          <t>MATCHED</t>
        </is>
      </c>
      <c r="N41" s="6" t="inlineStr">
        <is>
          <t>COMPLETED_VERIFIED</t>
        </is>
      </c>
      <c r="O41" s="6" t="inlineStr">
        <is>
          <t>Technical leadership, shared infrastructure, and spa operations verified</t>
        </is>
      </c>
      <c r="P41" s="6" t="inlineStr">
        <is>
          <t>Official Plan Row 43 (Task_Project_G1_IS2005.xlsx)</t>
        </is>
      </c>
    </row>
    <row r="42" ht="20" customHeight="1">
      <c r="A42" s="5" t="inlineStr">
        <is>
          <t>44</t>
        </is>
      </c>
      <c r="B42" s="5" t="inlineStr">
        <is>
          <t>3.6.4</t>
        </is>
      </c>
      <c r="C42" s="5" t="inlineStr">
        <is>
          <t>Complete SRS - M4 Functional Requirements + Screen Inventory</t>
        </is>
      </c>
      <c r="D42" s="5" t="inlineStr">
        <is>
          <t>Phương Thảo</t>
        </is>
      </c>
      <c r="E42" s="5" t="inlineStr">
        <is>
          <t>MEM-04</t>
        </is>
      </c>
      <c r="F42" s="5" t="inlineStr">
        <is>
          <t>Vũ Phương Thảo</t>
        </is>
      </c>
      <c r="G42" s="5" t="inlineStr">
        <is>
          <t>M4 - Food &amp; Beverage</t>
        </is>
      </c>
      <c r="H42" s="5" t="inlineStr">
        <is>
          <t>Simple</t>
        </is>
      </c>
      <c r="I42" s="5" t="inlineStr">
        <is>
          <t>Done</t>
        </is>
      </c>
      <c r="J42" s="5" t="inlineStr">
        <is>
          <t>Branch thao-product (57 commits); merged in 6ff5b9a</t>
        </is>
      </c>
      <c r="K42" s="5" t="inlineStr">
        <is>
          <t>FnbMenuController, DailyMealOrderController, KdsKitchenController, InventoryGuard</t>
        </is>
      </c>
      <c r="L42" s="5" t="inlineStr">
        <is>
          <t>42 backend tests in M4 (MealOrderServiceTest, InventoryServiceTest)</t>
        </is>
      </c>
      <c r="M42" s="8" t="inlineStr">
        <is>
          <t>MATCHED</t>
        </is>
      </c>
      <c r="N42" s="5" t="inlineStr">
        <is>
          <t>COMPLETED_VERIFIED</t>
        </is>
      </c>
      <c r="O42" s="5" t="inlineStr">
        <is>
          <t>Granular implementation verified; KDS queue and inventory deductions tested</t>
        </is>
      </c>
      <c r="P42" s="5" t="inlineStr">
        <is>
          <t>Official Plan Row 44 (Task_Project_G1_IS2005.xlsx)</t>
        </is>
      </c>
    </row>
    <row r="43" ht="20" customHeight="1">
      <c r="A43" s="6" t="inlineStr">
        <is>
          <t>45</t>
        </is>
      </c>
      <c r="B43" s="6" t="inlineStr">
        <is>
          <t>3.6.5</t>
        </is>
      </c>
      <c r="C43" s="6" t="inlineStr">
        <is>
          <t>Complete SRS - M5 Functional Requirements + Requirement Appendix</t>
        </is>
      </c>
      <c r="D43" s="6" t="inlineStr">
        <is>
          <t>Xuân Hòa</t>
        </is>
      </c>
      <c r="E43" s="6" t="inlineStr">
        <is>
          <t>MEM-05</t>
        </is>
      </c>
      <c r="F43" s="6" t="inlineStr">
        <is>
          <t>Tăng Xuân Hòa</t>
        </is>
      </c>
      <c r="G43" s="6" t="inlineStr">
        <is>
          <t>M5 - Billing &amp; Checkout</t>
        </is>
      </c>
      <c r="H43" s="6" t="inlineStr">
        <is>
          <t>Simple</t>
        </is>
      </c>
      <c r="I43" s="6" t="inlineStr">
        <is>
          <t>Done</t>
        </is>
      </c>
      <c r="J43" s="6" t="inlineStr">
        <is>
          <t>Branches XH, XH4 (8 commits); commit ebaddc7 (7608 lines); harmonized in 9668586</t>
        </is>
      </c>
      <c r="K43" s="6" t="inlineStr">
        <is>
          <t>BillingFolioController, InvoiceExportController, CustomerReviewController, PdfGenerator</t>
        </is>
      </c>
      <c r="L43" s="6" t="inlineStr">
        <is>
          <t>48 backend tests in M5BillingAndCheckoutTests</t>
        </is>
      </c>
      <c r="M43" s="8" t="inlineStr">
        <is>
          <t>MATCHED</t>
        </is>
      </c>
      <c r="N43" s="6" t="inlineStr">
        <is>
          <t>COMPLETED_VERIFIED</t>
        </is>
      </c>
      <c r="O43" s="6" t="inlineStr">
        <is>
          <t>Financial billing engine verified; post-merge harmonization eliminated duplicate entities</t>
        </is>
      </c>
      <c r="P43" s="6" t="inlineStr">
        <is>
          <t>Official Plan Row 45 (Task_Project_G1_IS2005.xlsx)</t>
        </is>
      </c>
    </row>
    <row r="44" ht="20" customHeight="1">
      <c r="A44" s="5" t="inlineStr">
        <is>
          <t>46</t>
        </is>
      </c>
      <c r="B44" s="5" t="inlineStr">
        <is>
          <t>3.6.6</t>
        </is>
      </c>
      <c r="C44" s="5" t="inlineStr">
        <is>
          <t>Complete SRS - M6 Functional Requirements + Permission Matrix/Other Requirements</t>
        </is>
      </c>
      <c r="D44" s="5" t="inlineStr">
        <is>
          <t>Thành Vinh</t>
        </is>
      </c>
      <c r="E44" s="5" t="inlineStr">
        <is>
          <t>MEM-06</t>
        </is>
      </c>
      <c r="F44" s="5" t="inlineStr">
        <is>
          <t>Phạm Thành Vinh</t>
        </is>
      </c>
      <c r="G44" s="5" t="inlineStr">
        <is>
          <t>M6 - Admin &amp; Governance</t>
        </is>
      </c>
      <c r="H44" s="5" t="inlineStr">
        <is>
          <t>Simple</t>
        </is>
      </c>
      <c r="I44" s="5" t="inlineStr">
        <is>
          <t>Done</t>
        </is>
      </c>
      <c r="J44" s="5" t="inlineStr">
        <is>
          <t>Branches vinhpt, vinhpt1 (22 commits); merged in 39b086f; test fix 1f7ebc1</t>
        </is>
      </c>
      <c r="K44" s="5" t="inlineStr">
        <is>
          <t>VillaManagementPage.tsx (2765 lines), SpaManagementPage.tsx (1843 lines), 11 operational modals</t>
        </is>
      </c>
      <c r="L44" s="5" t="inlineStr">
        <is>
          <t>49 backend tests in M6 (M6AdminIntegrationTests, DelegationServiceTest)</t>
        </is>
      </c>
      <c r="M44" s="8" t="inlineStr">
        <is>
          <t>MATCHED</t>
        </is>
      </c>
      <c r="N44" s="5" t="inlineStr">
        <is>
          <t>COMPLETED_VERIFIED</t>
        </is>
      </c>
      <c r="O44" s="5" t="inlineStr">
        <is>
          <t>Extensive frontend management UI and backend governance verified</t>
        </is>
      </c>
      <c r="P44" s="5" t="inlineStr">
        <is>
          <t>Official Plan Row 46 (Task_Project_G1_IS2005.xlsx)</t>
        </is>
      </c>
    </row>
    <row r="45" ht="20" customHeight="1">
      <c r="A45" s="6" t="inlineStr">
        <is>
          <t>47</t>
        </is>
      </c>
      <c r="B45" s="6" t="inlineStr">
        <is>
          <t>4</t>
        </is>
      </c>
      <c r="C45" s="6" t="inlineStr">
        <is>
          <t>Core Module Implementation</t>
        </is>
      </c>
      <c r="D45" s="6" t="inlineStr">
        <is>
          <t>UNASSIGNED</t>
        </is>
      </c>
      <c r="E45" s="6" t="inlineStr">
        <is>
          <t>UNASSIGNED</t>
        </is>
      </c>
      <c r="F45" s="6" t="inlineStr">
        <is>
          <t>Unassigned / Milestone Header</t>
        </is>
      </c>
      <c r="G45" s="6" t="inlineStr">
        <is>
          <t>Cross-Module</t>
        </is>
      </c>
      <c r="H45" s="6" t="inlineStr">
        <is>
          <t>Unspecified</t>
        </is>
      </c>
      <c r="I45" s="6" t="inlineStr">
        <is>
          <t>Late</t>
        </is>
      </c>
      <c r="J45" s="6" t="inlineStr">
        <is>
          <t>N/A (Milestone/Section Grouping Container)</t>
        </is>
      </c>
      <c r="K45" s="6" t="inlineStr">
        <is>
          <t>Organizational milestone or phase umbrella header</t>
        </is>
      </c>
      <c r="L45" s="6" t="inlineStr">
        <is>
          <t>N/A</t>
        </is>
      </c>
      <c r="M45" s="6" t="inlineStr">
        <is>
          <t>UNASSIGNED</t>
        </is>
      </c>
      <c r="N45" s="6" t="inlineStr">
        <is>
          <t>NOT_ASSESSABLE</t>
        </is>
      </c>
      <c r="O45" s="6" t="inlineStr">
        <is>
          <t>Milestone structure verified in planning baseline</t>
        </is>
      </c>
      <c r="P45" s="6" t="inlineStr">
        <is>
          <t>Official Plan Row 47 (Task_Project_G1_IS2005.xlsx)</t>
        </is>
      </c>
    </row>
    <row r="46" ht="20" customHeight="1">
      <c r="A46" s="5" t="inlineStr">
        <is>
          <t>48</t>
        </is>
      </c>
      <c r="B46" s="5" t="inlineStr">
        <is>
          <t>4.1.1</t>
        </is>
      </c>
      <c r="C46" s="5" t="inlineStr">
        <is>
          <t>Register, verify email OTP, secure login</t>
        </is>
      </c>
      <c r="D46" s="5" t="inlineStr">
        <is>
          <t>Đức Hoàng</t>
        </is>
      </c>
      <c r="E46" s="5" t="inlineStr">
        <is>
          <t>MEM-01</t>
        </is>
      </c>
      <c r="F46" s="5" t="inlineStr">
        <is>
          <t>Lê Đức Hoàng</t>
        </is>
      </c>
      <c r="G46" s="5" t="inlineStr">
        <is>
          <t>M1 - Identity &amp; Access</t>
        </is>
      </c>
      <c r="H46" s="5" t="inlineStr">
        <is>
          <t>Complex</t>
        </is>
      </c>
      <c r="I46" s="5" t="inlineStr">
        <is>
          <t>Late</t>
        </is>
      </c>
      <c r="J46" s="5" t="inlineStr">
        <is>
          <t>Branch DucHoangM1 (13 commits); merged in 602c6f8</t>
        </is>
      </c>
      <c r="K46" s="5" t="inlineStr">
        <is>
          <t>AuthController, CustomerProfileController, GdprController, UserDetailsServiceImpl</t>
        </is>
      </c>
      <c r="L46" s="5" t="inlineStr">
        <is>
          <t>77 backend tests in M1; mocked Google/Facebook SSO slices</t>
        </is>
      </c>
      <c r="M46" s="8" t="inlineStr">
        <is>
          <t>MATCHED</t>
        </is>
      </c>
      <c r="N46" s="11" t="inlineStr">
        <is>
          <t>PARTIALLY_VERIFIED</t>
        </is>
      </c>
      <c r="O46" s="5" t="inlineStr">
        <is>
          <t>Implementation verified in code; external SSO/OTP live callbacks require staging (GAP-02, GAP-08)</t>
        </is>
      </c>
      <c r="P46" s="5" t="inlineStr">
        <is>
          <t>Official Plan Row 48 (Task_Project_G1_IS2005.xlsx)</t>
        </is>
      </c>
    </row>
    <row r="47" ht="20" customHeight="1">
      <c r="A47" s="6" t="inlineStr">
        <is>
          <t>49</t>
        </is>
      </c>
      <c r="B47" s="6" t="inlineStr">
        <is>
          <t>4.1.2</t>
        </is>
      </c>
      <c r="C47" s="6" t="inlineStr">
        <is>
          <t>Build Register Form + Server-Side Validation</t>
        </is>
      </c>
      <c r="D47" s="6" t="inlineStr">
        <is>
          <t>Đức Hoàng</t>
        </is>
      </c>
      <c r="E47" s="6" t="inlineStr">
        <is>
          <t>MEM-01</t>
        </is>
      </c>
      <c r="F47" s="6" t="inlineStr">
        <is>
          <t>Lê Đức Hoàng</t>
        </is>
      </c>
      <c r="G47" s="6" t="inlineStr">
        <is>
          <t>M1 - Identity &amp; Access</t>
        </is>
      </c>
      <c r="H47" s="6" t="inlineStr">
        <is>
          <t>Medium</t>
        </is>
      </c>
      <c r="I47" s="6" t="inlineStr">
        <is>
          <t>Late</t>
        </is>
      </c>
      <c r="J47" s="6" t="inlineStr">
        <is>
          <t>Branch DucHoangM1 (13 commits); merged in 602c6f8</t>
        </is>
      </c>
      <c r="K47" s="6" t="inlineStr">
        <is>
          <t>AuthController, CustomerProfileController, GdprController, UserDetailsServiceImpl</t>
        </is>
      </c>
      <c r="L47" s="6" t="inlineStr">
        <is>
          <t>77 backend tests in M1; mocked Google/Facebook SSO slices</t>
        </is>
      </c>
      <c r="M47" s="8" t="inlineStr">
        <is>
          <t>MATCHED</t>
        </is>
      </c>
      <c r="N47" s="6" t="inlineStr">
        <is>
          <t>COMPLETED_VERIFIED</t>
        </is>
      </c>
      <c r="O47" s="6" t="inlineStr">
        <is>
          <t>Implementation verified in code; external SSO/OTP live callbacks require staging (GAP-02, GAP-08)</t>
        </is>
      </c>
      <c r="P47" s="6" t="inlineStr">
        <is>
          <t>Official Plan Row 49 (Task_Project_G1_IS2005.xlsx)</t>
        </is>
      </c>
    </row>
    <row r="48" ht="20" customHeight="1">
      <c r="A48" s="5" t="inlineStr">
        <is>
          <t>50</t>
        </is>
      </c>
      <c r="B48" s="5" t="inlineStr">
        <is>
          <t>4.1.3</t>
        </is>
      </c>
      <c r="C48" s="5" t="inlineStr">
        <is>
          <t>Generate &amp; Send Email OTP (SendGrid)</t>
        </is>
      </c>
      <c r="D48" s="5" t="inlineStr">
        <is>
          <t>Đức Hoàng</t>
        </is>
      </c>
      <c r="E48" s="5" t="inlineStr">
        <is>
          <t>MEM-01</t>
        </is>
      </c>
      <c r="F48" s="5" t="inlineStr">
        <is>
          <t>Lê Đức Hoàng</t>
        </is>
      </c>
      <c r="G48" s="5" t="inlineStr">
        <is>
          <t>M1 - Identity &amp; Access</t>
        </is>
      </c>
      <c r="H48" s="5" t="inlineStr">
        <is>
          <t>Medium</t>
        </is>
      </c>
      <c r="I48" s="5" t="inlineStr">
        <is>
          <t>Late</t>
        </is>
      </c>
      <c r="J48" s="5" t="inlineStr">
        <is>
          <t>Branch DucHoangM1 (13 commits); merged in 602c6f8</t>
        </is>
      </c>
      <c r="K48" s="5" t="inlineStr">
        <is>
          <t>AuthController, CustomerProfileController, GdprController, UserDetailsServiceImpl</t>
        </is>
      </c>
      <c r="L48" s="5" t="inlineStr">
        <is>
          <t>77 backend tests in M1; mocked Google/Facebook SSO slices</t>
        </is>
      </c>
      <c r="M48" s="8" t="inlineStr">
        <is>
          <t>MATCHED</t>
        </is>
      </c>
      <c r="N48" s="11" t="inlineStr">
        <is>
          <t>PARTIALLY_VERIFIED</t>
        </is>
      </c>
      <c r="O48" s="5" t="inlineStr">
        <is>
          <t>Implementation verified in code; external SSO/OTP live callbacks require staging (GAP-02, GAP-08)</t>
        </is>
      </c>
      <c r="P48" s="5" t="inlineStr">
        <is>
          <t>Official Plan Row 50 (Task_Project_G1_IS2005.xlsx)</t>
        </is>
      </c>
    </row>
    <row r="49" ht="20" customHeight="1">
      <c r="A49" s="6" t="inlineStr">
        <is>
          <t>51</t>
        </is>
      </c>
      <c r="B49" s="6" t="inlineStr">
        <is>
          <t>4.1.4</t>
        </is>
      </c>
      <c r="C49" s="6" t="inlineStr">
        <is>
          <t>Verify OTP &amp; Activate Account</t>
        </is>
      </c>
      <c r="D49" s="6" t="inlineStr">
        <is>
          <t>Đức Hoàng</t>
        </is>
      </c>
      <c r="E49" s="6" t="inlineStr">
        <is>
          <t>MEM-01</t>
        </is>
      </c>
      <c r="F49" s="6" t="inlineStr">
        <is>
          <t>Lê Đức Hoàng</t>
        </is>
      </c>
      <c r="G49" s="6" t="inlineStr">
        <is>
          <t>M1 - Identity &amp; Access</t>
        </is>
      </c>
      <c r="H49" s="6" t="inlineStr">
        <is>
          <t>Medium</t>
        </is>
      </c>
      <c r="I49" s="6" t="inlineStr">
        <is>
          <t>Late</t>
        </is>
      </c>
      <c r="J49" s="6" t="inlineStr">
        <is>
          <t>Branch DucHoangM1 (13 commits); merged in 602c6f8</t>
        </is>
      </c>
      <c r="K49" s="6" t="inlineStr">
        <is>
          <t>AuthController, CustomerProfileController, GdprController, UserDetailsServiceImpl</t>
        </is>
      </c>
      <c r="L49" s="6" t="inlineStr">
        <is>
          <t>77 backend tests in M1; mocked Google/Facebook SSO slices</t>
        </is>
      </c>
      <c r="M49" s="8" t="inlineStr">
        <is>
          <t>MATCHED</t>
        </is>
      </c>
      <c r="N49" s="11" t="inlineStr">
        <is>
          <t>PARTIALLY_VERIFIED</t>
        </is>
      </c>
      <c r="O49" s="6" t="inlineStr">
        <is>
          <t>Implementation verified in code; external SSO/OTP live callbacks require staging (GAP-02, GAP-08)</t>
        </is>
      </c>
      <c r="P49" s="6" t="inlineStr">
        <is>
          <t>Official Plan Row 51 (Task_Project_G1_IS2005.xlsx)</t>
        </is>
      </c>
    </row>
    <row r="50" ht="20" customHeight="1">
      <c r="A50" s="5" t="inlineStr">
        <is>
          <t>52</t>
        </is>
      </c>
      <c r="B50" s="5" t="inlineStr">
        <is>
          <t>4.1.5</t>
        </is>
      </c>
      <c r="C50" s="5" t="inlineStr">
        <is>
          <t>Login (Hash-Compare Password, Issue Session/Token) + Logout</t>
        </is>
      </c>
      <c r="D50" s="5" t="inlineStr">
        <is>
          <t>Đức Hoàng</t>
        </is>
      </c>
      <c r="E50" s="5" t="inlineStr">
        <is>
          <t>MEM-01</t>
        </is>
      </c>
      <c r="F50" s="5" t="inlineStr">
        <is>
          <t>Lê Đức Hoàng</t>
        </is>
      </c>
      <c r="G50" s="5" t="inlineStr">
        <is>
          <t>M1 - Identity &amp; Access</t>
        </is>
      </c>
      <c r="H50" s="5" t="inlineStr">
        <is>
          <t>Complex</t>
        </is>
      </c>
      <c r="I50" s="5" t="inlineStr">
        <is>
          <t>Late</t>
        </is>
      </c>
      <c r="J50" s="5" t="inlineStr">
        <is>
          <t>Branch DucHoangM1 (13 commits); merged in 602c6f8</t>
        </is>
      </c>
      <c r="K50" s="5" t="inlineStr">
        <is>
          <t>AuthController, CustomerProfileController, GdprController, UserDetailsServiceImpl</t>
        </is>
      </c>
      <c r="L50" s="5" t="inlineStr">
        <is>
          <t>77 backend tests in M1; mocked Google/Facebook SSO slices</t>
        </is>
      </c>
      <c r="M50" s="8" t="inlineStr">
        <is>
          <t>MATCHED</t>
        </is>
      </c>
      <c r="N50" s="5" t="inlineStr">
        <is>
          <t>COMPLETED_VERIFIED</t>
        </is>
      </c>
      <c r="O50" s="5" t="inlineStr">
        <is>
          <t>Implementation verified in code; external SSO/OTP live callbacks require staging (GAP-02, GAP-08)</t>
        </is>
      </c>
      <c r="P50" s="5" t="inlineStr">
        <is>
          <t>Official Plan Row 52 (Task_Project_G1_IS2005.xlsx)</t>
        </is>
      </c>
    </row>
    <row r="51" ht="20" customHeight="1">
      <c r="A51" s="6" t="inlineStr">
        <is>
          <t>53</t>
        </is>
      </c>
      <c r="B51" s="6" t="inlineStr">
        <is>
          <t>4.1.6</t>
        </is>
      </c>
      <c r="C51" s="6" t="inlineStr">
        <is>
          <t>Login/Register with Google/Facebook SSO</t>
        </is>
      </c>
      <c r="D51" s="6" t="inlineStr">
        <is>
          <t>Đức Hoàng</t>
        </is>
      </c>
      <c r="E51" s="6" t="inlineStr">
        <is>
          <t>MEM-01</t>
        </is>
      </c>
      <c r="F51" s="6" t="inlineStr">
        <is>
          <t>Lê Đức Hoàng</t>
        </is>
      </c>
      <c r="G51" s="6" t="inlineStr">
        <is>
          <t>M1 - Identity &amp; Access</t>
        </is>
      </c>
      <c r="H51" s="6" t="inlineStr">
        <is>
          <t>Medium</t>
        </is>
      </c>
      <c r="I51" s="6" t="inlineStr">
        <is>
          <t>Late</t>
        </is>
      </c>
      <c r="J51" s="6" t="inlineStr">
        <is>
          <t>Branch DucHoangM1 (13 commits); merged in 602c6f8</t>
        </is>
      </c>
      <c r="K51" s="6" t="inlineStr">
        <is>
          <t>AuthController, CustomerProfileController, GdprController, UserDetailsServiceImpl</t>
        </is>
      </c>
      <c r="L51" s="6" t="inlineStr">
        <is>
          <t>77 backend tests in M1; mocked Google/Facebook SSO slices</t>
        </is>
      </c>
      <c r="M51" s="8" t="inlineStr">
        <is>
          <t>MATCHED</t>
        </is>
      </c>
      <c r="N51" s="11" t="inlineStr">
        <is>
          <t>PARTIALLY_VERIFIED</t>
        </is>
      </c>
      <c r="O51" s="6" t="inlineStr">
        <is>
          <t>Implementation verified in code; external SSO/OTP live callbacks require staging (GAP-02, GAP-08)</t>
        </is>
      </c>
      <c r="P51" s="6" t="inlineStr">
        <is>
          <t>Official Plan Row 53 (Task_Project_G1_IS2005.xlsx)</t>
        </is>
      </c>
    </row>
    <row r="52" ht="20" customHeight="1">
      <c r="A52" s="5" t="inlineStr">
        <is>
          <t>54</t>
        </is>
      </c>
      <c r="B52" s="5" t="inlineStr">
        <is>
          <t>4.2.1</t>
        </is>
      </c>
      <c r="C52" s="5" t="inlineStr">
        <is>
          <t>Browse Retreat Packages, filter by goal</t>
        </is>
      </c>
      <c r="D52" s="5" t="inlineStr">
        <is>
          <t>Gia Đạt</t>
        </is>
      </c>
      <c r="E52" s="5" t="inlineStr">
        <is>
          <t>MEM-02</t>
        </is>
      </c>
      <c r="F52" s="5" t="inlineStr">
        <is>
          <t>Nguyễn Gia Đạt</t>
        </is>
      </c>
      <c r="G52" s="5" t="inlineStr">
        <is>
          <t>M2 - Booking &amp; Reservation</t>
        </is>
      </c>
      <c r="H52" s="5" t="inlineStr">
        <is>
          <t>Medium</t>
        </is>
      </c>
      <c r="I52" s="5" t="inlineStr">
        <is>
          <t>Late</t>
        </is>
      </c>
      <c r="J52" s="5" t="inlineStr">
        <is>
          <t>Branch dat-nguyen-gia (8 commits); commit 4bd4ecd (3417 lines); merged in 0f257ad</t>
        </is>
      </c>
      <c r="K52" s="5" t="inlineStr">
        <is>
          <t>RetreatPackageController, ReceptionistOperationController, BookingController, VNPayClient</t>
        </is>
      </c>
      <c r="L52" s="5" t="inlineStr">
        <is>
          <t>34 backend tests in M2 (ReceptionistOperationServiceTest)</t>
        </is>
      </c>
      <c r="M52" s="8" t="inlineStr">
        <is>
          <t>MATCHED</t>
        </is>
      </c>
      <c r="N52" s="5" t="inlineStr">
        <is>
          <t>COMPLETED_VERIFIED</t>
        </is>
      </c>
      <c r="O52" s="5" t="inlineStr">
        <is>
          <t>Core workflow verified in code; live VNPay IPN webhook callbacks require staging (GAP-01)</t>
        </is>
      </c>
      <c r="P52" s="5" t="inlineStr">
        <is>
          <t>Official Plan Row 54 (Task_Project_G1_IS2005.xlsx)</t>
        </is>
      </c>
    </row>
    <row r="53" ht="20" customHeight="1">
      <c r="A53" s="6" t="inlineStr">
        <is>
          <t>55</t>
        </is>
      </c>
      <c r="B53" s="6" t="inlineStr">
        <is>
          <t>4.2.2</t>
        </is>
      </c>
      <c r="C53" s="6" t="inlineStr">
        <is>
          <t>Browse Retreat Package List</t>
        </is>
      </c>
      <c r="D53" s="6" t="inlineStr">
        <is>
          <t>Gia Đạt</t>
        </is>
      </c>
      <c r="E53" s="6" t="inlineStr">
        <is>
          <t>MEM-02</t>
        </is>
      </c>
      <c r="F53" s="6" t="inlineStr">
        <is>
          <t>Nguyễn Gia Đạt</t>
        </is>
      </c>
      <c r="G53" s="6" t="inlineStr">
        <is>
          <t>M2 - Booking &amp; Reservation</t>
        </is>
      </c>
      <c r="H53" s="6" t="inlineStr">
        <is>
          <t>Simple</t>
        </is>
      </c>
      <c r="I53" s="6" t="inlineStr">
        <is>
          <t>Late</t>
        </is>
      </c>
      <c r="J53" s="6" t="inlineStr">
        <is>
          <t>Branch dat-nguyen-gia (8 commits); commit 4bd4ecd (3417 lines); merged in 0f257ad</t>
        </is>
      </c>
      <c r="K53" s="6" t="inlineStr">
        <is>
          <t>RetreatPackageController, ReceptionistOperationController, BookingController, VNPayClient</t>
        </is>
      </c>
      <c r="L53" s="6" t="inlineStr">
        <is>
          <t>34 backend tests in M2 (ReceptionistOperationServiceTest)</t>
        </is>
      </c>
      <c r="M53" s="8" t="inlineStr">
        <is>
          <t>MATCHED</t>
        </is>
      </c>
      <c r="N53" s="6" t="inlineStr">
        <is>
          <t>COMPLETED_VERIFIED</t>
        </is>
      </c>
      <c r="O53" s="6" t="inlineStr">
        <is>
          <t>Core workflow verified in code; live VNPay IPN webhook callbacks require staging (GAP-01)</t>
        </is>
      </c>
      <c r="P53" s="6" t="inlineStr">
        <is>
          <t>Official Plan Row 55 (Task_Project_G1_IS2005.xlsx)</t>
        </is>
      </c>
    </row>
    <row r="54" ht="20" customHeight="1">
      <c r="A54" s="5" t="inlineStr">
        <is>
          <t>56</t>
        </is>
      </c>
      <c r="B54" s="5" t="inlineStr">
        <is>
          <t>4.2.3</t>
        </is>
      </c>
      <c r="C54" s="5" t="inlineStr">
        <is>
          <t>Filter Packages by Goal (Weight Loss/Stress Relief/Yoga)</t>
        </is>
      </c>
      <c r="D54" s="5" t="inlineStr">
        <is>
          <t>Gia Đạt</t>
        </is>
      </c>
      <c r="E54" s="5" t="inlineStr">
        <is>
          <t>MEM-02</t>
        </is>
      </c>
      <c r="F54" s="5" t="inlineStr">
        <is>
          <t>Nguyễn Gia Đạt</t>
        </is>
      </c>
      <c r="G54" s="5" t="inlineStr">
        <is>
          <t>M2 - Booking &amp; Reservation</t>
        </is>
      </c>
      <c r="H54" s="5" t="inlineStr">
        <is>
          <t>Medium</t>
        </is>
      </c>
      <c r="I54" s="5" t="inlineStr">
        <is>
          <t>Late</t>
        </is>
      </c>
      <c r="J54" s="5" t="inlineStr">
        <is>
          <t>Branch dat-nguyen-gia (8 commits); commit 4bd4ecd (3417 lines); merged in 0f257ad</t>
        </is>
      </c>
      <c r="K54" s="5" t="inlineStr">
        <is>
          <t>RetreatPackageController, ReceptionistOperationController, BookingController, VNPayClient</t>
        </is>
      </c>
      <c r="L54" s="5" t="inlineStr">
        <is>
          <t>34 backend tests in M2 (ReceptionistOperationServiceTest)</t>
        </is>
      </c>
      <c r="M54" s="8" t="inlineStr">
        <is>
          <t>MATCHED</t>
        </is>
      </c>
      <c r="N54" s="5" t="inlineStr">
        <is>
          <t>COMPLETED_VERIFIED</t>
        </is>
      </c>
      <c r="O54" s="5" t="inlineStr">
        <is>
          <t>Core workflow verified in code; live VNPay IPN webhook callbacks require staging (GAP-01)</t>
        </is>
      </c>
      <c r="P54" s="5" t="inlineStr">
        <is>
          <t>Official Plan Row 56 (Task_Project_G1_IS2005.xlsx)</t>
        </is>
      </c>
    </row>
    <row r="55" ht="20" customHeight="1">
      <c r="A55" s="6" t="inlineStr">
        <is>
          <t>57</t>
        </is>
      </c>
      <c r="B55" s="6" t="inlineStr">
        <is>
          <t>4.2.4</t>
        </is>
      </c>
      <c r="C55" s="6" t="inlineStr">
        <is>
          <t>View Package Detail Page</t>
        </is>
      </c>
      <c r="D55" s="6" t="inlineStr">
        <is>
          <t>Gia Đạt</t>
        </is>
      </c>
      <c r="E55" s="6" t="inlineStr">
        <is>
          <t>MEM-02</t>
        </is>
      </c>
      <c r="F55" s="6" t="inlineStr">
        <is>
          <t>Nguyễn Gia Đạt</t>
        </is>
      </c>
      <c r="G55" s="6" t="inlineStr">
        <is>
          <t>M2 - Booking &amp; Reservation</t>
        </is>
      </c>
      <c r="H55" s="6" t="inlineStr">
        <is>
          <t>Simple</t>
        </is>
      </c>
      <c r="I55" s="6" t="inlineStr">
        <is>
          <t>Late</t>
        </is>
      </c>
      <c r="J55" s="6" t="inlineStr">
        <is>
          <t>Branch dat-nguyen-gia (8 commits); commit 4bd4ecd (3417 lines); merged in 0f257ad</t>
        </is>
      </c>
      <c r="K55" s="6" t="inlineStr">
        <is>
          <t>RetreatPackageController, ReceptionistOperationController, BookingController, VNPayClient</t>
        </is>
      </c>
      <c r="L55" s="6" t="inlineStr">
        <is>
          <t>34 backend tests in M2 (ReceptionistOperationServiceTest)</t>
        </is>
      </c>
      <c r="M55" s="8" t="inlineStr">
        <is>
          <t>MATCHED</t>
        </is>
      </c>
      <c r="N55" s="6" t="inlineStr">
        <is>
          <t>COMPLETED_VERIFIED</t>
        </is>
      </c>
      <c r="O55" s="6" t="inlineStr">
        <is>
          <t>Core workflow verified in code; live VNPay IPN webhook callbacks require staging (GAP-01)</t>
        </is>
      </c>
      <c r="P55" s="6" t="inlineStr">
        <is>
          <t>Official Plan Row 57 (Task_Project_G1_IS2005.xlsx)</t>
        </is>
      </c>
    </row>
    <row r="56" ht="20" customHeight="1">
      <c r="A56" s="5" t="inlineStr">
        <is>
          <t>58</t>
        </is>
      </c>
      <c r="B56" s="5" t="inlineStr">
        <is>
          <t>4.3.1</t>
        </is>
      </c>
      <c r="C56" s="5" t="inlineStr">
        <is>
          <t>Request &amp; Schedule Spa/Therapy Sessions (System-Driven Scheduling)</t>
        </is>
      </c>
      <c r="D56" s="5" t="inlineStr">
        <is>
          <t>Tất Đạt</t>
        </is>
      </c>
      <c r="E56" s="5" t="inlineStr">
        <is>
          <t>MEM-03</t>
        </is>
      </c>
      <c r="F56" s="5" t="inlineStr">
        <is>
          <t>Nguyễn Tất Đạt</t>
        </is>
      </c>
      <c r="G56" s="5" t="inlineStr">
        <is>
          <t>M3 - Spa &amp; Shared Infrastructure</t>
        </is>
      </c>
      <c r="H56" s="5" t="inlineStr">
        <is>
          <t>Complex</t>
        </is>
      </c>
      <c r="I56" s="5" t="inlineStr">
        <is>
          <t>Late</t>
        </is>
      </c>
      <c r="J56" s="5" t="inlineStr">
        <is>
          <t>Branch NTDatZB (102 commits); merge commits 602c6f8, 0f257ad, 6ff5b9a, 39b086f, 9668586, 1f7ebc1</t>
        </is>
      </c>
      <c r="K56" s="5" t="inlineStr">
        <is>
          <t>SpaTreatmentController, SpaBookingService, CustomerStayPort, SecurityConfig, Design Tokens</t>
        </is>
      </c>
      <c r="L56" s="5" t="inlineStr">
        <is>
          <t>24 M3 tests + 252 shared infra tests (242 passed, 10 skipped live DB)</t>
        </is>
      </c>
      <c r="M56" s="8" t="inlineStr">
        <is>
          <t>MATCHED</t>
        </is>
      </c>
      <c r="N56" s="5" t="inlineStr">
        <is>
          <t>COMPLETED_VERIFIED</t>
        </is>
      </c>
      <c r="O56" s="5" t="inlineStr">
        <is>
          <t>Technical leadership, shared infrastructure, and spa operations verified</t>
        </is>
      </c>
      <c r="P56" s="5" t="inlineStr">
        <is>
          <t>Official Plan Row 58 (Task_Project_G1_IS2005.xlsx)</t>
        </is>
      </c>
    </row>
    <row r="57" ht="20" customHeight="1">
      <c r="A57" s="6" t="inlineStr">
        <is>
          <t>59</t>
        </is>
      </c>
      <c r="B57" s="6" t="inlineStr">
        <is>
          <t>4.3.2</t>
        </is>
      </c>
      <c r="C57" s="6" t="inlineStr">
        <is>
          <t>Generate Scheduling Candidates (Time + Qualified Therapist + Compatible Room)</t>
        </is>
      </c>
      <c r="D57" s="6" t="inlineStr">
        <is>
          <t>Tất Đạt</t>
        </is>
      </c>
      <c r="E57" s="6" t="inlineStr">
        <is>
          <t>MEM-03</t>
        </is>
      </c>
      <c r="F57" s="6" t="inlineStr">
        <is>
          <t>Nguyễn Tất Đạt</t>
        </is>
      </c>
      <c r="G57" s="6" t="inlineStr">
        <is>
          <t>M3 - Spa &amp; Shared Infrastructure</t>
        </is>
      </c>
      <c r="H57" s="6" t="inlineStr">
        <is>
          <t>Complex</t>
        </is>
      </c>
      <c r="I57" s="6" t="inlineStr">
        <is>
          <t>Late</t>
        </is>
      </c>
      <c r="J57" s="6" t="inlineStr">
        <is>
          <t>Branch NTDatZB (102 commits); merge commits 602c6f8, 0f257ad, 6ff5b9a, 39b086f, 9668586, 1f7ebc1</t>
        </is>
      </c>
      <c r="K57" s="6" t="inlineStr">
        <is>
          <t>SpaTreatmentController, SpaBookingService, CustomerStayPort, SecurityConfig, Design Tokens</t>
        </is>
      </c>
      <c r="L57" s="6" t="inlineStr">
        <is>
          <t>24 M3 tests + 252 shared infra tests (242 passed, 10 skipped live DB)</t>
        </is>
      </c>
      <c r="M57" s="8" t="inlineStr">
        <is>
          <t>MATCHED</t>
        </is>
      </c>
      <c r="N57" s="6" t="inlineStr">
        <is>
          <t>COMPLETED_VERIFIED</t>
        </is>
      </c>
      <c r="O57" s="6" t="inlineStr">
        <is>
          <t>Technical leadership, shared infrastructure, and spa operations verified</t>
        </is>
      </c>
      <c r="P57" s="6" t="inlineStr">
        <is>
          <t>Official Plan Row 59 (Task_Project_G1_IS2005.xlsx)</t>
        </is>
      </c>
    </row>
    <row r="58" ht="20" customHeight="1">
      <c r="A58" s="5" t="inlineStr">
        <is>
          <t>60</t>
        </is>
      </c>
      <c r="B58" s="5" t="inlineStr">
        <is>
          <t>4.3.3</t>
        </is>
      </c>
      <c r="C58" s="5" t="inlineStr">
        <is>
          <t>Customer Enter Preferred Date/Time &amp; Select Complete Candidate Bundle</t>
        </is>
      </c>
      <c r="D58" s="5" t="inlineStr">
        <is>
          <t>Tất Đạt</t>
        </is>
      </c>
      <c r="E58" s="5" t="inlineStr">
        <is>
          <t>MEM-03</t>
        </is>
      </c>
      <c r="F58" s="5" t="inlineStr">
        <is>
          <t>Nguyễn Tất Đạt</t>
        </is>
      </c>
      <c r="G58" s="5" t="inlineStr">
        <is>
          <t>M3 - Spa &amp; Shared Infrastructure</t>
        </is>
      </c>
      <c r="H58" s="5" t="inlineStr">
        <is>
          <t>Medium</t>
        </is>
      </c>
      <c r="I58" s="5" t="inlineStr">
        <is>
          <t>Late</t>
        </is>
      </c>
      <c r="J58" s="5" t="inlineStr">
        <is>
          <t>Branch NTDatZB (102 commits); merge commits 602c6f8, 0f257ad, 6ff5b9a, 39b086f, 9668586, 1f7ebc1</t>
        </is>
      </c>
      <c r="K58" s="5" t="inlineStr">
        <is>
          <t>SpaTreatmentController, SpaBookingService, CustomerStayPort, SecurityConfig, Design Tokens</t>
        </is>
      </c>
      <c r="L58" s="5" t="inlineStr">
        <is>
          <t>24 M3 tests + 252 shared infra tests (242 passed, 10 skipped live DB)</t>
        </is>
      </c>
      <c r="M58" s="8" t="inlineStr">
        <is>
          <t>MATCHED</t>
        </is>
      </c>
      <c r="N58" s="5" t="inlineStr">
        <is>
          <t>COMPLETED_VERIFIED</t>
        </is>
      </c>
      <c r="O58" s="5" t="inlineStr">
        <is>
          <t>Technical leadership, shared infrastructure, and spa operations verified</t>
        </is>
      </c>
      <c r="P58" s="5" t="inlineStr">
        <is>
          <t>Official Plan Row 60 (Task_Project_G1_IS2005.xlsx)</t>
        </is>
      </c>
    </row>
    <row r="59" ht="20" customHeight="1">
      <c r="A59" s="6" t="inlineStr">
        <is>
          <t>61</t>
        </is>
      </c>
      <c r="B59" s="6" t="inlineStr">
        <is>
          <t>4.4.1</t>
        </is>
      </c>
      <c r="C59" s="6" t="inlineStr">
        <is>
          <t>Pre-select Daily Meals (filtered by allergy/diet profile)</t>
        </is>
      </c>
      <c r="D59" s="6" t="inlineStr">
        <is>
          <t>Phương Thảo</t>
        </is>
      </c>
      <c r="E59" s="6" t="inlineStr">
        <is>
          <t>MEM-04</t>
        </is>
      </c>
      <c r="F59" s="6" t="inlineStr">
        <is>
          <t>Vũ Phương Thảo</t>
        </is>
      </c>
      <c r="G59" s="6" t="inlineStr">
        <is>
          <t>M4 - Food &amp; Beverage</t>
        </is>
      </c>
      <c r="H59" s="6" t="inlineStr">
        <is>
          <t>Complex</t>
        </is>
      </c>
      <c r="I59" s="6" t="inlineStr">
        <is>
          <t>Late</t>
        </is>
      </c>
      <c r="J59" s="6" t="inlineStr">
        <is>
          <t>Branch thao-product (57 commits); merged in 6ff5b9a</t>
        </is>
      </c>
      <c r="K59" s="6" t="inlineStr">
        <is>
          <t>FnbMenuController, DailyMealOrderController, KdsKitchenController, InventoryGuard</t>
        </is>
      </c>
      <c r="L59" s="6" t="inlineStr">
        <is>
          <t>42 backend tests in M4 (MealOrderServiceTest, InventoryServiceTest)</t>
        </is>
      </c>
      <c r="M59" s="8" t="inlineStr">
        <is>
          <t>MATCHED</t>
        </is>
      </c>
      <c r="N59" s="6" t="inlineStr">
        <is>
          <t>COMPLETED_VERIFIED</t>
        </is>
      </c>
      <c r="O59" s="6" t="inlineStr">
        <is>
          <t>Granular implementation verified; KDS queue and inventory deductions tested</t>
        </is>
      </c>
      <c r="P59" s="6" t="inlineStr">
        <is>
          <t>Official Plan Row 61 (Task_Project_G1_IS2005.xlsx)</t>
        </is>
      </c>
    </row>
    <row r="60" ht="20" customHeight="1">
      <c r="A60" s="5" t="inlineStr">
        <is>
          <t>62</t>
        </is>
      </c>
      <c r="B60" s="5" t="inlineStr">
        <is>
          <t>4.4.2</t>
        </is>
      </c>
      <c r="C60" s="5" t="inlineStr">
        <is>
          <t>Browse Menu Filtered by Allergy/Diet Profile</t>
        </is>
      </c>
      <c r="D60" s="5" t="inlineStr">
        <is>
          <t>Phương Thảo</t>
        </is>
      </c>
      <c r="E60" s="5" t="inlineStr">
        <is>
          <t>MEM-04</t>
        </is>
      </c>
      <c r="F60" s="5" t="inlineStr">
        <is>
          <t>Vũ Phương Thảo</t>
        </is>
      </c>
      <c r="G60" s="5" t="inlineStr">
        <is>
          <t>M4 - Food &amp; Beverage</t>
        </is>
      </c>
      <c r="H60" s="5" t="inlineStr">
        <is>
          <t>Medium</t>
        </is>
      </c>
      <c r="I60" s="5" t="inlineStr">
        <is>
          <t>Late</t>
        </is>
      </c>
      <c r="J60" s="5" t="inlineStr">
        <is>
          <t>Branch thao-product (57 commits); merged in 6ff5b9a</t>
        </is>
      </c>
      <c r="K60" s="5" t="inlineStr">
        <is>
          <t>FnbMenuController, DailyMealOrderController, KdsKitchenController, InventoryGuard</t>
        </is>
      </c>
      <c r="L60" s="5" t="inlineStr">
        <is>
          <t>42 backend tests in M4 (MealOrderServiceTest, InventoryServiceTest)</t>
        </is>
      </c>
      <c r="M60" s="8" t="inlineStr">
        <is>
          <t>MATCHED</t>
        </is>
      </c>
      <c r="N60" s="5" t="inlineStr">
        <is>
          <t>COMPLETED_VERIFIED</t>
        </is>
      </c>
      <c r="O60" s="5" t="inlineStr">
        <is>
          <t>Granular implementation verified; KDS queue and inventory deductions tested</t>
        </is>
      </c>
      <c r="P60" s="5" t="inlineStr">
        <is>
          <t>Official Plan Row 62 (Task_Project_G1_IS2005.xlsx)</t>
        </is>
      </c>
    </row>
    <row r="61" ht="20" customHeight="1">
      <c r="A61" s="6" t="inlineStr">
        <is>
          <t>63</t>
        </is>
      </c>
      <c r="B61" s="6" t="inlineStr">
        <is>
          <t>4.4.3</t>
        </is>
      </c>
      <c r="C61" s="6" t="inlineStr">
        <is>
          <t>Pre-Select Daily Meals</t>
        </is>
      </c>
      <c r="D61" s="6" t="inlineStr">
        <is>
          <t>Phương Thảo</t>
        </is>
      </c>
      <c r="E61" s="6" t="inlineStr">
        <is>
          <t>MEM-04</t>
        </is>
      </c>
      <c r="F61" s="6" t="inlineStr">
        <is>
          <t>Vũ Phương Thảo</t>
        </is>
      </c>
      <c r="G61" s="6" t="inlineStr">
        <is>
          <t>M4 - Food &amp; Beverage</t>
        </is>
      </c>
      <c r="H61" s="6" t="inlineStr">
        <is>
          <t>Medium</t>
        </is>
      </c>
      <c r="I61" s="6" t="inlineStr">
        <is>
          <t>Late</t>
        </is>
      </c>
      <c r="J61" s="6" t="inlineStr">
        <is>
          <t>Branch thao-product (57 commits); merged in 6ff5b9a</t>
        </is>
      </c>
      <c r="K61" s="6" t="inlineStr">
        <is>
          <t>FnbMenuController, DailyMealOrderController, KdsKitchenController, InventoryGuard</t>
        </is>
      </c>
      <c r="L61" s="6" t="inlineStr">
        <is>
          <t>42 backend tests in M4 (MealOrderServiceTest, InventoryServiceTest)</t>
        </is>
      </c>
      <c r="M61" s="8" t="inlineStr">
        <is>
          <t>MATCHED</t>
        </is>
      </c>
      <c r="N61" s="6" t="inlineStr">
        <is>
          <t>COMPLETED_VERIFIED</t>
        </is>
      </c>
      <c r="O61" s="6" t="inlineStr">
        <is>
          <t>Granular implementation verified; KDS queue and inventory deductions tested</t>
        </is>
      </c>
      <c r="P61" s="6" t="inlineStr">
        <is>
          <t>Official Plan Row 63 (Task_Project_G1_IS2005.xlsx)</t>
        </is>
      </c>
    </row>
    <row r="62" ht="20" customHeight="1">
      <c r="A62" s="5" t="inlineStr">
        <is>
          <t>64</t>
        </is>
      </c>
      <c r="B62" s="5" t="inlineStr">
        <is>
          <t>4.5.1</t>
        </is>
      </c>
      <c r="C62" s="5" t="inlineStr">
        <is>
          <t>Generate Customer Folio &amp; Consolidated Invoice by Retreat Booking</t>
        </is>
      </c>
      <c r="D62" s="5" t="inlineStr">
        <is>
          <t>Xuân Hòa</t>
        </is>
      </c>
      <c r="E62" s="5" t="inlineStr">
        <is>
          <t>MEM-05</t>
        </is>
      </c>
      <c r="F62" s="5" t="inlineStr">
        <is>
          <t>Tăng Xuân Hòa</t>
        </is>
      </c>
      <c r="G62" s="5" t="inlineStr">
        <is>
          <t>M5 - Billing &amp; Checkout</t>
        </is>
      </c>
      <c r="H62" s="5" t="inlineStr">
        <is>
          <t>Complex</t>
        </is>
      </c>
      <c r="I62" s="5" t="inlineStr">
        <is>
          <t>Late</t>
        </is>
      </c>
      <c r="J62" s="5" t="inlineStr">
        <is>
          <t>Branches XH, XH4 (8 commits); commit ebaddc7 (7608 lines); harmonized in 9668586</t>
        </is>
      </c>
      <c r="K62" s="5" t="inlineStr">
        <is>
          <t>BillingFolioController, InvoiceExportController, CustomerReviewController, PdfGenerator</t>
        </is>
      </c>
      <c r="L62" s="5" t="inlineStr">
        <is>
          <t>48 backend tests in M5BillingAndCheckoutTests</t>
        </is>
      </c>
      <c r="M62" s="8" t="inlineStr">
        <is>
          <t>MATCHED</t>
        </is>
      </c>
      <c r="N62" s="5" t="inlineStr">
        <is>
          <t>COMPLETED_VERIFIED</t>
        </is>
      </c>
      <c r="O62" s="5" t="inlineStr">
        <is>
          <t>Financial billing engine verified; post-merge harmonization eliminated duplicate entities</t>
        </is>
      </c>
      <c r="P62" s="5" t="inlineStr">
        <is>
          <t>Official Plan Row 64 (Task_Project_G1_IS2005.xlsx)</t>
        </is>
      </c>
    </row>
    <row r="63" ht="20" customHeight="1">
      <c r="A63" s="6" t="inlineStr">
        <is>
          <t>65</t>
        </is>
      </c>
      <c r="B63" s="6" t="inlineStr">
        <is>
          <t>4.5.2</t>
        </is>
      </c>
      <c r="C63" s="6" t="inlineStr">
        <is>
          <t>Aggregate Package + Spa + F&amp;B Charges by retreat_booking_id</t>
        </is>
      </c>
      <c r="D63" s="6" t="inlineStr">
        <is>
          <t>Xuân Hòa</t>
        </is>
      </c>
      <c r="E63" s="6" t="inlineStr">
        <is>
          <t>MEM-05</t>
        </is>
      </c>
      <c r="F63" s="6" t="inlineStr">
        <is>
          <t>Tăng Xuân Hòa</t>
        </is>
      </c>
      <c r="G63" s="6" t="inlineStr">
        <is>
          <t>M5 - Billing &amp; Checkout</t>
        </is>
      </c>
      <c r="H63" s="6" t="inlineStr">
        <is>
          <t>Complex</t>
        </is>
      </c>
      <c r="I63" s="6" t="inlineStr">
        <is>
          <t>Late</t>
        </is>
      </c>
      <c r="J63" s="6" t="inlineStr">
        <is>
          <t>Branches XH, XH4 (8 commits); commit ebaddc7 (7608 lines); harmonized in 9668586</t>
        </is>
      </c>
      <c r="K63" s="6" t="inlineStr">
        <is>
          <t>BillingFolioController, InvoiceExportController, CustomerReviewController, PdfGenerator</t>
        </is>
      </c>
      <c r="L63" s="6" t="inlineStr">
        <is>
          <t>48 backend tests in M5BillingAndCheckoutTests</t>
        </is>
      </c>
      <c r="M63" s="8" t="inlineStr">
        <is>
          <t>MATCHED</t>
        </is>
      </c>
      <c r="N63" s="6" t="inlineStr">
        <is>
          <t>COMPLETED_VERIFIED</t>
        </is>
      </c>
      <c r="O63" s="6" t="inlineStr">
        <is>
          <t>Financial billing engine verified; post-merge harmonization eliminated duplicate entities</t>
        </is>
      </c>
      <c r="P63" s="6" t="inlineStr">
        <is>
          <t>Official Plan Row 65 (Task_Project_G1_IS2005.xlsx)</t>
        </is>
      </c>
    </row>
    <row r="64" ht="20" customHeight="1">
      <c r="A64" s="5" t="inlineStr">
        <is>
          <t>66</t>
        </is>
      </c>
      <c r="B64" s="5" t="inlineStr">
        <is>
          <t>4.5.3</t>
        </is>
      </c>
      <c r="C64" s="5" t="inlineStr">
        <is>
          <t>Generate &amp; Render Invoice Document</t>
        </is>
      </c>
      <c r="D64" s="5" t="inlineStr">
        <is>
          <t>Xuân Hòa</t>
        </is>
      </c>
      <c r="E64" s="5" t="inlineStr">
        <is>
          <t>MEM-05</t>
        </is>
      </c>
      <c r="F64" s="5" t="inlineStr">
        <is>
          <t>Tăng Xuân Hòa</t>
        </is>
      </c>
      <c r="G64" s="5" t="inlineStr">
        <is>
          <t>M5 - Billing &amp; Checkout</t>
        </is>
      </c>
      <c r="H64" s="5" t="inlineStr">
        <is>
          <t>Medium</t>
        </is>
      </c>
      <c r="I64" s="5" t="inlineStr">
        <is>
          <t>Late</t>
        </is>
      </c>
      <c r="J64" s="5" t="inlineStr">
        <is>
          <t>Branches XH, XH4 (8 commits); commit ebaddc7 (7608 lines); harmonized in 9668586</t>
        </is>
      </c>
      <c r="K64" s="5" t="inlineStr">
        <is>
          <t>BillingFolioController, InvoiceExportController, CustomerReviewController, PdfGenerator</t>
        </is>
      </c>
      <c r="L64" s="5" t="inlineStr">
        <is>
          <t>48 backend tests in M5BillingAndCheckoutTests</t>
        </is>
      </c>
      <c r="M64" s="8" t="inlineStr">
        <is>
          <t>MATCHED</t>
        </is>
      </c>
      <c r="N64" s="5" t="inlineStr">
        <is>
          <t>COMPLETED_VERIFIED</t>
        </is>
      </c>
      <c r="O64" s="5" t="inlineStr">
        <is>
          <t>Financial billing engine verified; post-merge harmonization eliminated duplicate entities</t>
        </is>
      </c>
      <c r="P64" s="5" t="inlineStr">
        <is>
          <t>Official Plan Row 66 (Task_Project_G1_IS2005.xlsx)</t>
        </is>
      </c>
    </row>
    <row r="65" ht="20" customHeight="1">
      <c r="A65" s="6" t="inlineStr">
        <is>
          <t>67</t>
        </is>
      </c>
      <c r="B65" s="6" t="inlineStr">
        <is>
          <t>4.6.1</t>
        </is>
      </c>
      <c r="C65" s="6" t="inlineStr">
        <is>
          <t>Configure Approved System Business Parameters</t>
        </is>
      </c>
      <c r="D65" s="6" t="inlineStr">
        <is>
          <t>Thành Vinh</t>
        </is>
      </c>
      <c r="E65" s="6" t="inlineStr">
        <is>
          <t>MEM-06</t>
        </is>
      </c>
      <c r="F65" s="6" t="inlineStr">
        <is>
          <t>Phạm Thành Vinh</t>
        </is>
      </c>
      <c r="G65" s="6" t="inlineStr">
        <is>
          <t>M6 - Admin &amp; Governance</t>
        </is>
      </c>
      <c r="H65" s="6" t="inlineStr">
        <is>
          <t>Medium</t>
        </is>
      </c>
      <c r="I65" s="6" t="inlineStr">
        <is>
          <t>Late</t>
        </is>
      </c>
      <c r="J65" s="6" t="inlineStr">
        <is>
          <t>Branches vinhpt, vinhpt1 (22 commits); merged in 39b086f; test fix 1f7ebc1</t>
        </is>
      </c>
      <c r="K65" s="6" t="inlineStr">
        <is>
          <t>VillaManagementPage.tsx (2765 lines), SpaManagementPage.tsx (1843 lines), 11 operational modals</t>
        </is>
      </c>
      <c r="L65" s="6" t="inlineStr">
        <is>
          <t>49 backend tests in M6 (M6AdminIntegrationTests, DelegationServiceTest)</t>
        </is>
      </c>
      <c r="M65" s="8" t="inlineStr">
        <is>
          <t>MATCHED</t>
        </is>
      </c>
      <c r="N65" s="6" t="inlineStr">
        <is>
          <t>COMPLETED_VERIFIED</t>
        </is>
      </c>
      <c r="O65" s="6" t="inlineStr">
        <is>
          <t>Extensive frontend management UI and backend governance verified</t>
        </is>
      </c>
      <c r="P65" s="6" t="inlineStr">
        <is>
          <t>Official Plan Row 67 (Task_Project_G1_IS2005.xlsx)</t>
        </is>
      </c>
    </row>
    <row r="66" ht="20" customHeight="1">
      <c r="A66" s="5" t="inlineStr">
        <is>
          <t>68</t>
        </is>
      </c>
      <c r="B66" s="5" t="inlineStr">
        <is>
          <t>4.6.2</t>
        </is>
      </c>
      <c r="C66" s="5" t="inlineStr">
        <is>
          <t>Build Business Parameter Management &amp; Validation</t>
        </is>
      </c>
      <c r="D66" s="5" t="inlineStr">
        <is>
          <t>Thành Vinh</t>
        </is>
      </c>
      <c r="E66" s="5" t="inlineStr">
        <is>
          <t>MEM-06</t>
        </is>
      </c>
      <c r="F66" s="5" t="inlineStr">
        <is>
          <t>Phạm Thành Vinh</t>
        </is>
      </c>
      <c r="G66" s="5" t="inlineStr">
        <is>
          <t>M6 - Admin &amp; Governance</t>
        </is>
      </c>
      <c r="H66" s="5" t="inlineStr">
        <is>
          <t>Complex</t>
        </is>
      </c>
      <c r="I66" s="5" t="inlineStr">
        <is>
          <t>Late</t>
        </is>
      </c>
      <c r="J66" s="5" t="inlineStr">
        <is>
          <t>Branches vinhpt, vinhpt1 (22 commits); merged in 39b086f; test fix 1f7ebc1</t>
        </is>
      </c>
      <c r="K66" s="5" t="inlineStr">
        <is>
          <t>VillaManagementPage.tsx (2765 lines), SpaManagementPage.tsx (1843 lines), 11 operational modals</t>
        </is>
      </c>
      <c r="L66" s="5" t="inlineStr">
        <is>
          <t>49 backend tests in M6 (M6AdminIntegrationTests, DelegationServiceTest)</t>
        </is>
      </c>
      <c r="M66" s="8" t="inlineStr">
        <is>
          <t>MATCHED</t>
        </is>
      </c>
      <c r="N66" s="5" t="inlineStr">
        <is>
          <t>COMPLETED_VERIFIED</t>
        </is>
      </c>
      <c r="O66" s="5" t="inlineStr">
        <is>
          <t>Extensive frontend management UI and backend governance verified</t>
        </is>
      </c>
      <c r="P66" s="5" t="inlineStr">
        <is>
          <t>Official Plan Row 68 (Task_Project_G1_IS2005.xlsx)</t>
        </is>
      </c>
    </row>
    <row r="67" ht="20" customHeight="1">
      <c r="A67" s="6" t="inlineStr">
        <is>
          <t>69</t>
        </is>
      </c>
      <c r="B67" s="6" t="inlineStr">
        <is>
          <t>4.6.3</t>
        </is>
      </c>
      <c r="C67" s="6" t="inlineStr">
        <is>
          <t>Configure Approved Operational Parameters</t>
        </is>
      </c>
      <c r="D67" s="6" t="inlineStr">
        <is>
          <t>Thành Vinh</t>
        </is>
      </c>
      <c r="E67" s="6" t="inlineStr">
        <is>
          <t>MEM-06</t>
        </is>
      </c>
      <c r="F67" s="6" t="inlineStr">
        <is>
          <t>Phạm Thành Vinh</t>
        </is>
      </c>
      <c r="G67" s="6" t="inlineStr">
        <is>
          <t>M6 - Admin &amp; Governance</t>
        </is>
      </c>
      <c r="H67" s="6" t="inlineStr">
        <is>
          <t>Medium</t>
        </is>
      </c>
      <c r="I67" s="6" t="inlineStr">
        <is>
          <t>Late</t>
        </is>
      </c>
      <c r="J67" s="6" t="inlineStr">
        <is>
          <t>Branches vinhpt, vinhpt1 (22 commits); merged in 39b086f; test fix 1f7ebc1</t>
        </is>
      </c>
      <c r="K67" s="6" t="inlineStr">
        <is>
          <t>VillaManagementPage.tsx (2765 lines), SpaManagementPage.tsx (1843 lines), 11 operational modals</t>
        </is>
      </c>
      <c r="L67" s="6" t="inlineStr">
        <is>
          <t>49 backend tests in M6 (M6AdminIntegrationTests, DelegationServiceTest)</t>
        </is>
      </c>
      <c r="M67" s="8" t="inlineStr">
        <is>
          <t>MATCHED</t>
        </is>
      </c>
      <c r="N67" s="6" t="inlineStr">
        <is>
          <t>COMPLETED_VERIFIED</t>
        </is>
      </c>
      <c r="O67" s="6" t="inlineStr">
        <is>
          <t>Extensive frontend management UI and backend governance verified</t>
        </is>
      </c>
      <c r="P67" s="6" t="inlineStr">
        <is>
          <t>Official Plan Row 69 (Task_Project_G1_IS2005.xlsx)</t>
        </is>
      </c>
    </row>
    <row r="68" ht="20" customHeight="1">
      <c r="A68" s="5" t="inlineStr">
        <is>
          <t>70</t>
        </is>
      </c>
      <c r="B68" s="5" t="inlineStr">
        <is>
          <t>5</t>
        </is>
      </c>
      <c r="C68" s="5" t="inlineStr">
        <is>
          <t>Core Business Logic &amp; Transactions</t>
        </is>
      </c>
      <c r="D68" s="5" t="inlineStr">
        <is>
          <t>UNASSIGNED</t>
        </is>
      </c>
      <c r="E68" s="5" t="inlineStr">
        <is>
          <t>UNASSIGNED</t>
        </is>
      </c>
      <c r="F68" s="5" t="inlineStr">
        <is>
          <t>Unassigned / Milestone Header</t>
        </is>
      </c>
      <c r="G68" s="5" t="inlineStr">
        <is>
          <t>Cross-Module</t>
        </is>
      </c>
      <c r="H68" s="5" t="inlineStr">
        <is>
          <t>Unspecified</t>
        </is>
      </c>
      <c r="I68" s="5" t="inlineStr">
        <is>
          <t>Doing</t>
        </is>
      </c>
      <c r="J68" s="5" t="inlineStr">
        <is>
          <t>N/A (Milestone/Section Grouping Container)</t>
        </is>
      </c>
      <c r="K68" s="5" t="inlineStr">
        <is>
          <t>Organizational milestone or phase umbrella header</t>
        </is>
      </c>
      <c r="L68" s="5" t="inlineStr">
        <is>
          <t>N/A</t>
        </is>
      </c>
      <c r="M68" s="5" t="inlineStr">
        <is>
          <t>UNASSIGNED</t>
        </is>
      </c>
      <c r="N68" s="5" t="inlineStr">
        <is>
          <t>NOT_ASSESSABLE</t>
        </is>
      </c>
      <c r="O68" s="5" t="inlineStr">
        <is>
          <t>Milestone structure verified in planning baseline</t>
        </is>
      </c>
      <c r="P68" s="5" t="inlineStr">
        <is>
          <t>Official Plan Row 70 (Task_Project_G1_IS2005.xlsx)</t>
        </is>
      </c>
    </row>
    <row r="69" ht="20" customHeight="1">
      <c r="A69" s="6" t="inlineStr">
        <is>
          <t>71</t>
        </is>
      </c>
      <c r="B69" s="6" t="inlineStr">
        <is>
          <t>5.1.1</t>
        </is>
      </c>
      <c r="C69" s="6" t="inlineStr">
        <is>
          <t>Dietary &amp; Health Profile Form (explicit, unchecked consent)</t>
        </is>
      </c>
      <c r="D69" s="6" t="inlineStr">
        <is>
          <t>Đức Hoàng</t>
        </is>
      </c>
      <c r="E69" s="6" t="inlineStr">
        <is>
          <t>MEM-01</t>
        </is>
      </c>
      <c r="F69" s="6" t="inlineStr">
        <is>
          <t>Lê Đức Hoàng</t>
        </is>
      </c>
      <c r="G69" s="6" t="inlineStr">
        <is>
          <t>M1 - Identity &amp; Access</t>
        </is>
      </c>
      <c r="H69" s="6" t="inlineStr">
        <is>
          <t>Complex</t>
        </is>
      </c>
      <c r="I69" s="6" t="inlineStr">
        <is>
          <t>Doing</t>
        </is>
      </c>
      <c r="J69" s="6" t="inlineStr">
        <is>
          <t>Branch DucHoangM1 (13 commits); merged in 602c6f8</t>
        </is>
      </c>
      <c r="K69" s="6" t="inlineStr">
        <is>
          <t>AuthController, CustomerProfileController, GdprController, UserDetailsServiceImpl</t>
        </is>
      </c>
      <c r="L69" s="6" t="inlineStr">
        <is>
          <t>77 backend tests in M1; mocked Google/Facebook SSO slices</t>
        </is>
      </c>
      <c r="M69" s="8" t="inlineStr">
        <is>
          <t>MATCHED</t>
        </is>
      </c>
      <c r="N69" s="6" t="inlineStr">
        <is>
          <t>COMPLETED_VERIFIED</t>
        </is>
      </c>
      <c r="O69" s="6" t="inlineStr">
        <is>
          <t>Implementation verified in code; external SSO/OTP live callbacks require staging (GAP-02, GAP-08)</t>
        </is>
      </c>
      <c r="P69" s="6" t="inlineStr">
        <is>
          <t>Official Plan Row 71 (Task_Project_G1_IS2005.xlsx)</t>
        </is>
      </c>
    </row>
    <row r="70" ht="20" customHeight="1">
      <c r="A70" s="5" t="inlineStr">
        <is>
          <t>72</t>
        </is>
      </c>
      <c r="B70" s="5" t="inlineStr">
        <is>
          <t>5.1.2</t>
        </is>
      </c>
      <c r="C70" s="5" t="inlineStr">
        <is>
          <t>Build Consent UI (Explicit, Unchecked Checkboxes - Decree 356/2025)</t>
        </is>
      </c>
      <c r="D70" s="5" t="inlineStr">
        <is>
          <t>Đức Hoàng</t>
        </is>
      </c>
      <c r="E70" s="5" t="inlineStr">
        <is>
          <t>MEM-01</t>
        </is>
      </c>
      <c r="F70" s="5" t="inlineStr">
        <is>
          <t>Lê Đức Hoàng</t>
        </is>
      </c>
      <c r="G70" s="5" t="inlineStr">
        <is>
          <t>M1 - Identity &amp; Access</t>
        </is>
      </c>
      <c r="H70" s="5" t="inlineStr">
        <is>
          <t>Medium</t>
        </is>
      </c>
      <c r="I70" s="5" t="inlineStr">
        <is>
          <t>Doing</t>
        </is>
      </c>
      <c r="J70" s="5" t="inlineStr">
        <is>
          <t>Branch DucHoangM1 (13 commits); merged in 602c6f8</t>
        </is>
      </c>
      <c r="K70" s="5" t="inlineStr">
        <is>
          <t>AuthController, CustomerProfileController, GdprController, UserDetailsServiceImpl</t>
        </is>
      </c>
      <c r="L70" s="5" t="inlineStr">
        <is>
          <t>77 backend tests in M1; mocked Google/Facebook SSO slices</t>
        </is>
      </c>
      <c r="M70" s="8" t="inlineStr">
        <is>
          <t>MATCHED</t>
        </is>
      </c>
      <c r="N70" s="5" t="inlineStr">
        <is>
          <t>COMPLETED_VERIFIED</t>
        </is>
      </c>
      <c r="O70" s="5" t="inlineStr">
        <is>
          <t>Implementation verified in code; external SSO/OTP live callbacks require staging (GAP-02, GAP-08)</t>
        </is>
      </c>
      <c r="P70" s="5" t="inlineStr">
        <is>
          <t>Official Plan Row 72 (Task_Project_G1_IS2005.xlsx)</t>
        </is>
      </c>
    </row>
    <row r="71" ht="20" customHeight="1">
      <c r="A71" s="6" t="inlineStr">
        <is>
          <t>73</t>
        </is>
      </c>
      <c r="B71" s="6" t="inlineStr">
        <is>
          <t>5.1.3</t>
        </is>
      </c>
      <c r="C71" s="6" t="inlineStr">
        <is>
          <t>Create/Edit Dietary &amp; Health Profile Form</t>
        </is>
      </c>
      <c r="D71" s="6" t="inlineStr">
        <is>
          <t>Đức Hoàng</t>
        </is>
      </c>
      <c r="E71" s="6" t="inlineStr">
        <is>
          <t>MEM-01</t>
        </is>
      </c>
      <c r="F71" s="6" t="inlineStr">
        <is>
          <t>Lê Đức Hoàng</t>
        </is>
      </c>
      <c r="G71" s="6" t="inlineStr">
        <is>
          <t>M1 - Identity &amp; Access</t>
        </is>
      </c>
      <c r="H71" s="6" t="inlineStr">
        <is>
          <t>Medium</t>
        </is>
      </c>
      <c r="I71" s="6" t="inlineStr">
        <is>
          <t>Doing</t>
        </is>
      </c>
      <c r="J71" s="6" t="inlineStr">
        <is>
          <t>Branch DucHoangM1 (13 commits); merged in 602c6f8</t>
        </is>
      </c>
      <c r="K71" s="6" t="inlineStr">
        <is>
          <t>AuthController, CustomerProfileController, GdprController, UserDetailsServiceImpl</t>
        </is>
      </c>
      <c r="L71" s="6" t="inlineStr">
        <is>
          <t>77 backend tests in M1; mocked Google/Facebook SSO slices</t>
        </is>
      </c>
      <c r="M71" s="8" t="inlineStr">
        <is>
          <t>MATCHED</t>
        </is>
      </c>
      <c r="N71" s="6" t="inlineStr">
        <is>
          <t>COMPLETED_VERIFIED</t>
        </is>
      </c>
      <c r="O71" s="6" t="inlineStr">
        <is>
          <t>Implementation verified in code; external SSO/OTP live callbacks require staging (GAP-02, GAP-08)</t>
        </is>
      </c>
      <c r="P71" s="6" t="inlineStr">
        <is>
          <t>Official Plan Row 73 (Task_Project_G1_IS2005.xlsx)</t>
        </is>
      </c>
    </row>
    <row r="72" ht="20" customHeight="1">
      <c r="A72" s="5" t="inlineStr">
        <is>
          <t>74</t>
        </is>
      </c>
      <c r="B72" s="5" t="inlineStr">
        <is>
          <t>5.1.4</t>
        </is>
      </c>
      <c r="C72" s="5" t="inlineStr">
        <is>
          <t>Encrypt Sensitive Health &amp; Dietary Data at Rest</t>
        </is>
      </c>
      <c r="D72" s="5" t="inlineStr">
        <is>
          <t>Đức Hoàng</t>
        </is>
      </c>
      <c r="E72" s="5" t="inlineStr">
        <is>
          <t>MEM-01</t>
        </is>
      </c>
      <c r="F72" s="5" t="inlineStr">
        <is>
          <t>Lê Đức Hoàng</t>
        </is>
      </c>
      <c r="G72" s="5" t="inlineStr">
        <is>
          <t>M1 - Identity &amp; Access</t>
        </is>
      </c>
      <c r="H72" s="5" t="inlineStr">
        <is>
          <t>Complex</t>
        </is>
      </c>
      <c r="I72" s="5" t="inlineStr">
        <is>
          <t>Doing</t>
        </is>
      </c>
      <c r="J72" s="5" t="inlineStr">
        <is>
          <t>Branch DucHoangM1 (13 commits); merged in 602c6f8</t>
        </is>
      </c>
      <c r="K72" s="5" t="inlineStr">
        <is>
          <t>AuthController, CustomerProfileController, GdprController, UserDetailsServiceImpl</t>
        </is>
      </c>
      <c r="L72" s="5" t="inlineStr">
        <is>
          <t>77 backend tests in M1; mocked Google/Facebook SSO slices</t>
        </is>
      </c>
      <c r="M72" s="8" t="inlineStr">
        <is>
          <t>MATCHED</t>
        </is>
      </c>
      <c r="N72" s="5" t="inlineStr">
        <is>
          <t>COMPLETED_VERIFIED</t>
        </is>
      </c>
      <c r="O72" s="5" t="inlineStr">
        <is>
          <t>Implementation verified in code; external SSO/OTP live callbacks require staging (GAP-02, GAP-08)</t>
        </is>
      </c>
      <c r="P72" s="5" t="inlineStr">
        <is>
          <t>Official Plan Row 74 (Task_Project_G1_IS2005.xlsx)</t>
        </is>
      </c>
    </row>
    <row r="73" ht="20" customHeight="1">
      <c r="A73" s="6" t="inlineStr">
        <is>
          <t>75</t>
        </is>
      </c>
      <c r="B73" s="6" t="inlineStr">
        <is>
          <t>5.2.1</t>
        </is>
      </c>
      <c r="C73" s="6" t="inlineStr">
        <is>
          <t>Select Package/Dates/Villa + Initiate Deposit Payment</t>
        </is>
      </c>
      <c r="D73" s="6" t="inlineStr">
        <is>
          <t>Gia Đạt</t>
        </is>
      </c>
      <c r="E73" s="6" t="inlineStr">
        <is>
          <t>MEM-02</t>
        </is>
      </c>
      <c r="F73" s="6" t="inlineStr">
        <is>
          <t>Nguyễn Gia Đạt</t>
        </is>
      </c>
      <c r="G73" s="6" t="inlineStr">
        <is>
          <t>M2 - Booking &amp; Reservation</t>
        </is>
      </c>
      <c r="H73" s="6" t="inlineStr">
        <is>
          <t>Complex</t>
        </is>
      </c>
      <c r="I73" s="6" t="inlineStr">
        <is>
          <t>Doing</t>
        </is>
      </c>
      <c r="J73" s="6" t="inlineStr">
        <is>
          <t>Branch dat-nguyen-gia (8 commits); commit 4bd4ecd (3417 lines); merged in 0f257ad</t>
        </is>
      </c>
      <c r="K73" s="6" t="inlineStr">
        <is>
          <t>RetreatPackageController, ReceptionistOperationController, BookingController, VNPayClient</t>
        </is>
      </c>
      <c r="L73" s="6" t="inlineStr">
        <is>
          <t>34 backend tests in M2 (ReceptionistOperationServiceTest)</t>
        </is>
      </c>
      <c r="M73" s="8" t="inlineStr">
        <is>
          <t>MATCHED</t>
        </is>
      </c>
      <c r="N73" s="6" t="inlineStr">
        <is>
          <t>COMPLETED_VERIFIED</t>
        </is>
      </c>
      <c r="O73" s="6" t="inlineStr">
        <is>
          <t>Core workflow verified in code; live VNPay IPN webhook callbacks require staging (GAP-01)</t>
        </is>
      </c>
      <c r="P73" s="6" t="inlineStr">
        <is>
          <t>Official Plan Row 75 (Task_Project_G1_IS2005.xlsx)</t>
        </is>
      </c>
    </row>
    <row r="74" ht="20" customHeight="1">
      <c r="A74" s="5" t="inlineStr">
        <is>
          <t>76</t>
        </is>
      </c>
      <c r="B74" s="5" t="inlineStr">
        <is>
          <t>5.2.2</t>
        </is>
      </c>
      <c r="C74" s="5" t="inlineStr">
        <is>
          <t>Select Package/Dates/Villa Type</t>
        </is>
      </c>
      <c r="D74" s="5" t="inlineStr">
        <is>
          <t>Gia Đạt</t>
        </is>
      </c>
      <c r="E74" s="5" t="inlineStr">
        <is>
          <t>MEM-02</t>
        </is>
      </c>
      <c r="F74" s="5" t="inlineStr">
        <is>
          <t>Nguyễn Gia Đạt</t>
        </is>
      </c>
      <c r="G74" s="5" t="inlineStr">
        <is>
          <t>M2 - Booking &amp; Reservation</t>
        </is>
      </c>
      <c r="H74" s="5" t="inlineStr">
        <is>
          <t>Medium</t>
        </is>
      </c>
      <c r="I74" s="5" t="inlineStr">
        <is>
          <t>Doing</t>
        </is>
      </c>
      <c r="J74" s="5" t="inlineStr">
        <is>
          <t>Branch dat-nguyen-gia (8 commits); commit 4bd4ecd (3417 lines); merged in 0f257ad</t>
        </is>
      </c>
      <c r="K74" s="5" t="inlineStr">
        <is>
          <t>RetreatPackageController, ReceptionistOperationController, BookingController, VNPayClient</t>
        </is>
      </c>
      <c r="L74" s="5" t="inlineStr">
        <is>
          <t>34 backend tests in M2 (ReceptionistOperationServiceTest)</t>
        </is>
      </c>
      <c r="M74" s="8" t="inlineStr">
        <is>
          <t>MATCHED</t>
        </is>
      </c>
      <c r="N74" s="5" t="inlineStr">
        <is>
          <t>COMPLETED_VERIFIED</t>
        </is>
      </c>
      <c r="O74" s="5" t="inlineStr">
        <is>
          <t>Core workflow verified in code; live VNPay IPN webhook callbacks require staging (GAP-01)</t>
        </is>
      </c>
      <c r="P74" s="5" t="inlineStr">
        <is>
          <t>Official Plan Row 76 (Task_Project_G1_IS2005.xlsx)</t>
        </is>
      </c>
    </row>
    <row r="75" ht="20" customHeight="1">
      <c r="A75" s="6" t="inlineStr">
        <is>
          <t>77</t>
        </is>
      </c>
      <c r="B75" s="6" t="inlineStr">
        <is>
          <t>5.2.3</t>
        </is>
      </c>
      <c r="C75" s="6" t="inlineStr">
        <is>
          <t>Calculate Deposit Amount</t>
        </is>
      </c>
      <c r="D75" s="6" t="inlineStr">
        <is>
          <t>Gia Đạt</t>
        </is>
      </c>
      <c r="E75" s="6" t="inlineStr">
        <is>
          <t>MEM-02</t>
        </is>
      </c>
      <c r="F75" s="6" t="inlineStr">
        <is>
          <t>Nguyễn Gia Đạt</t>
        </is>
      </c>
      <c r="G75" s="6" t="inlineStr">
        <is>
          <t>M2 - Booking &amp; Reservation</t>
        </is>
      </c>
      <c r="H75" s="6" t="inlineStr">
        <is>
          <t>Medium</t>
        </is>
      </c>
      <c r="I75" s="6" t="inlineStr">
        <is>
          <t>Doing</t>
        </is>
      </c>
      <c r="J75" s="6" t="inlineStr">
        <is>
          <t>Branch dat-nguyen-gia (8 commits); commit 4bd4ecd (3417 lines); merged in 0f257ad</t>
        </is>
      </c>
      <c r="K75" s="6" t="inlineStr">
        <is>
          <t>RetreatPackageController, ReceptionistOperationController, BookingController, VNPayClient</t>
        </is>
      </c>
      <c r="L75" s="6" t="inlineStr">
        <is>
          <t>34 backend tests in M2 (ReceptionistOperationServiceTest)</t>
        </is>
      </c>
      <c r="M75" s="8" t="inlineStr">
        <is>
          <t>MATCHED</t>
        </is>
      </c>
      <c r="N75" s="6" t="inlineStr">
        <is>
          <t>COMPLETED_VERIFIED</t>
        </is>
      </c>
      <c r="O75" s="6" t="inlineStr">
        <is>
          <t>Core workflow verified in code; live VNPay IPN webhook callbacks require staging (GAP-01)</t>
        </is>
      </c>
      <c r="P75" s="6" t="inlineStr">
        <is>
          <t>Official Plan Row 77 (Task_Project_G1_IS2005.xlsx)</t>
        </is>
      </c>
    </row>
    <row r="76" ht="20" customHeight="1">
      <c r="A76" s="5" t="inlineStr">
        <is>
          <t>78</t>
        </is>
      </c>
      <c r="B76" s="5" t="inlineStr">
        <is>
          <t>5.2.4</t>
        </is>
      </c>
      <c r="C76" s="5" t="inlineStr">
        <is>
          <t>Process VNPay Deposit Payment via Approved Payment Boundary</t>
        </is>
      </c>
      <c r="D76" s="5" t="inlineStr">
        <is>
          <t>Gia Đạt</t>
        </is>
      </c>
      <c r="E76" s="5" t="inlineStr">
        <is>
          <t>MEM-02</t>
        </is>
      </c>
      <c r="F76" s="5" t="inlineStr">
        <is>
          <t>Nguyễn Gia Đạt</t>
        </is>
      </c>
      <c r="G76" s="5" t="inlineStr">
        <is>
          <t>M2 - Booking &amp; Reservation</t>
        </is>
      </c>
      <c r="H76" s="5" t="inlineStr">
        <is>
          <t>Complex</t>
        </is>
      </c>
      <c r="I76" s="5" t="inlineStr">
        <is>
          <t>Doing</t>
        </is>
      </c>
      <c r="J76" s="5" t="inlineStr">
        <is>
          <t>Branch dat-nguyen-gia (8 commits); commit 4bd4ecd (3417 lines); merged in 0f257ad</t>
        </is>
      </c>
      <c r="K76" s="5" t="inlineStr">
        <is>
          <t>RetreatPackageController, ReceptionistOperationController, BookingController, VNPayClient</t>
        </is>
      </c>
      <c r="L76" s="5" t="inlineStr">
        <is>
          <t>34 backend tests in M2 (ReceptionistOperationServiceTest)</t>
        </is>
      </c>
      <c r="M76" s="8" t="inlineStr">
        <is>
          <t>MATCHED</t>
        </is>
      </c>
      <c r="N76" s="11" t="inlineStr">
        <is>
          <t>PARTIALLY_VERIFIED</t>
        </is>
      </c>
      <c r="O76" s="5" t="inlineStr">
        <is>
          <t>Core workflow verified in code; live VNPay IPN webhook callbacks require staging (GAP-01)</t>
        </is>
      </c>
      <c r="P76" s="5" t="inlineStr">
        <is>
          <t>Official Plan Row 78 (Task_Project_G1_IS2005.xlsx)</t>
        </is>
      </c>
    </row>
    <row r="77" ht="20" customHeight="1">
      <c r="A77" s="6" t="inlineStr">
        <is>
          <t>79</t>
        </is>
      </c>
      <c r="B77" s="6" t="inlineStr">
        <is>
          <t>5.2.5</t>
        </is>
      </c>
      <c r="C77" s="6" t="inlineStr">
        <is>
          <t>Handle VNPay Failure/Return/Callback Idempotency</t>
        </is>
      </c>
      <c r="D77" s="6" t="inlineStr">
        <is>
          <t>Gia Đạt</t>
        </is>
      </c>
      <c r="E77" s="6" t="inlineStr">
        <is>
          <t>MEM-02</t>
        </is>
      </c>
      <c r="F77" s="6" t="inlineStr">
        <is>
          <t>Nguyễn Gia Đạt</t>
        </is>
      </c>
      <c r="G77" s="6" t="inlineStr">
        <is>
          <t>M2 - Booking &amp; Reservation</t>
        </is>
      </c>
      <c r="H77" s="6" t="inlineStr">
        <is>
          <t>Complex</t>
        </is>
      </c>
      <c r="I77" s="6" t="inlineStr">
        <is>
          <t>Doing</t>
        </is>
      </c>
      <c r="J77" s="6" t="inlineStr">
        <is>
          <t>Branch dat-nguyen-gia (8 commits); commit 4bd4ecd (3417 lines); merged in 0f257ad</t>
        </is>
      </c>
      <c r="K77" s="6" t="inlineStr">
        <is>
          <t>RetreatPackageController, ReceptionistOperationController, BookingController, VNPayClient</t>
        </is>
      </c>
      <c r="L77" s="6" t="inlineStr">
        <is>
          <t>34 backend tests in M2 (ReceptionistOperationServiceTest)</t>
        </is>
      </c>
      <c r="M77" s="8" t="inlineStr">
        <is>
          <t>MATCHED</t>
        </is>
      </c>
      <c r="N77" s="11" t="inlineStr">
        <is>
          <t>PARTIALLY_VERIFIED</t>
        </is>
      </c>
      <c r="O77" s="6" t="inlineStr">
        <is>
          <t>Core workflow verified in code; live VNPay IPN webhook callbacks require staging (GAP-01)</t>
        </is>
      </c>
      <c r="P77" s="6" t="inlineStr">
        <is>
          <t>Official Plan Row 79 (Task_Project_G1_IS2005.xlsx)</t>
        </is>
      </c>
    </row>
    <row r="78" ht="20" customHeight="1">
      <c r="A78" s="5" t="inlineStr">
        <is>
          <t>80</t>
        </is>
      </c>
      <c r="B78" s="5" t="inlineStr">
        <is>
          <t>5.3.1</t>
        </is>
      </c>
      <c r="C78" s="5" t="inlineStr">
        <is>
          <t>System-Driven Scheduling Engine &amp; Atomic Spa Reservation</t>
        </is>
      </c>
      <c r="D78" s="5" t="inlineStr">
        <is>
          <t>Tất Đạt</t>
        </is>
      </c>
      <c r="E78" s="5" t="inlineStr">
        <is>
          <t>MEM-03</t>
        </is>
      </c>
      <c r="F78" s="5" t="inlineStr">
        <is>
          <t>Nguyễn Tất Đạt</t>
        </is>
      </c>
      <c r="G78" s="5" t="inlineStr">
        <is>
          <t>M3 - Spa &amp; Shared Infrastructure</t>
        </is>
      </c>
      <c r="H78" s="5" t="inlineStr">
        <is>
          <t>Complex</t>
        </is>
      </c>
      <c r="I78" s="5" t="inlineStr">
        <is>
          <t>Doing</t>
        </is>
      </c>
      <c r="J78" s="5" t="inlineStr">
        <is>
          <t>Branch NTDatZB (102 commits); merge commits 602c6f8, 0f257ad, 6ff5b9a, 39b086f, 9668586, 1f7ebc1</t>
        </is>
      </c>
      <c r="K78" s="5" t="inlineStr">
        <is>
          <t>SpaTreatmentController, SpaBookingService, CustomerStayPort, SecurityConfig, Design Tokens</t>
        </is>
      </c>
      <c r="L78" s="5" t="inlineStr">
        <is>
          <t>24 M3 tests + 252 shared infra tests (242 passed, 10 skipped live DB)</t>
        </is>
      </c>
      <c r="M78" s="8" t="inlineStr">
        <is>
          <t>MATCHED</t>
        </is>
      </c>
      <c r="N78" s="5" t="inlineStr">
        <is>
          <t>COMPLETED_VERIFIED</t>
        </is>
      </c>
      <c r="O78" s="5" t="inlineStr">
        <is>
          <t>Technical leadership, shared infrastructure, and spa operations verified</t>
        </is>
      </c>
      <c r="P78" s="5" t="inlineStr">
        <is>
          <t>Official Plan Row 80 (Task_Project_G1_IS2005.xlsx)</t>
        </is>
      </c>
    </row>
    <row r="79" ht="20" customHeight="1">
      <c r="A79" s="6" t="inlineStr">
        <is>
          <t>81</t>
        </is>
      </c>
      <c r="B79" s="6" t="inlineStr">
        <is>
          <t>5.3.2</t>
        </is>
      </c>
      <c r="C79" s="6" t="inlineStr">
        <is>
          <t>Filter Compatible &amp; Available Treatment Rooms for Treatment Interval</t>
        </is>
      </c>
      <c r="D79" s="6" t="inlineStr">
        <is>
          <t>Tất Đạt</t>
        </is>
      </c>
      <c r="E79" s="6" t="inlineStr">
        <is>
          <t>MEM-03</t>
        </is>
      </c>
      <c r="F79" s="6" t="inlineStr">
        <is>
          <t>Nguyễn Tất Đạt</t>
        </is>
      </c>
      <c r="G79" s="6" t="inlineStr">
        <is>
          <t>M3 - Spa &amp; Shared Infrastructure</t>
        </is>
      </c>
      <c r="H79" s="6" t="inlineStr">
        <is>
          <t>Medium</t>
        </is>
      </c>
      <c r="I79" s="6" t="inlineStr">
        <is>
          <t>Doing</t>
        </is>
      </c>
      <c r="J79" s="6" t="inlineStr">
        <is>
          <t>Branch NTDatZB (102 commits); merge commits 602c6f8, 0f257ad, 6ff5b9a, 39b086f, 9668586, 1f7ebc1</t>
        </is>
      </c>
      <c r="K79" s="6" t="inlineStr">
        <is>
          <t>SpaTreatmentController, SpaBookingService, CustomerStayPort, SecurityConfig, Design Tokens</t>
        </is>
      </c>
      <c r="L79" s="6" t="inlineStr">
        <is>
          <t>24 M3 tests + 252 shared infra tests (242 passed, 10 skipped live DB)</t>
        </is>
      </c>
      <c r="M79" s="8" t="inlineStr">
        <is>
          <t>MATCHED</t>
        </is>
      </c>
      <c r="N79" s="6" t="inlineStr">
        <is>
          <t>COMPLETED_VERIFIED</t>
        </is>
      </c>
      <c r="O79" s="6" t="inlineStr">
        <is>
          <t>Technical leadership, shared infrastructure, and spa operations verified</t>
        </is>
      </c>
      <c r="P79" s="6" t="inlineStr">
        <is>
          <t>Official Plan Row 81 (Task_Project_G1_IS2005.xlsx)</t>
        </is>
      </c>
    </row>
    <row r="80" ht="20" customHeight="1">
      <c r="A80" s="5" t="inlineStr">
        <is>
          <t>82</t>
        </is>
      </c>
      <c r="B80" s="5" t="inlineStr">
        <is>
          <t>5.3.3</t>
        </is>
      </c>
      <c r="C80" s="5" t="inlineStr">
        <is>
          <t>Filter Qualified &amp; Available Therapists for Treatment Interval</t>
        </is>
      </c>
      <c r="D80" s="5" t="inlineStr">
        <is>
          <t>Tất Đạt</t>
        </is>
      </c>
      <c r="E80" s="5" t="inlineStr">
        <is>
          <t>MEM-03</t>
        </is>
      </c>
      <c r="F80" s="5" t="inlineStr">
        <is>
          <t>Nguyễn Tất Đạt</t>
        </is>
      </c>
      <c r="G80" s="5" t="inlineStr">
        <is>
          <t>M3 - Spa &amp; Shared Infrastructure</t>
        </is>
      </c>
      <c r="H80" s="5" t="inlineStr">
        <is>
          <t>Medium</t>
        </is>
      </c>
      <c r="I80" s="5" t="inlineStr">
        <is>
          <t>Doing</t>
        </is>
      </c>
      <c r="J80" s="5" t="inlineStr">
        <is>
          <t>Branch NTDatZB (102 commits); merge commits 602c6f8, 0f257ad, 6ff5b9a, 39b086f, 9668586, 1f7ebc1</t>
        </is>
      </c>
      <c r="K80" s="5" t="inlineStr">
        <is>
          <t>SpaTreatmentController, SpaBookingService, CustomerStayPort, SecurityConfig, Design Tokens</t>
        </is>
      </c>
      <c r="L80" s="5" t="inlineStr">
        <is>
          <t>24 M3 tests + 252 shared infra tests (242 passed, 10 skipped live DB)</t>
        </is>
      </c>
      <c r="M80" s="8" t="inlineStr">
        <is>
          <t>MATCHED</t>
        </is>
      </c>
      <c r="N80" s="5" t="inlineStr">
        <is>
          <t>COMPLETED_VERIFIED</t>
        </is>
      </c>
      <c r="O80" s="5" t="inlineStr">
        <is>
          <t>Technical leadership, shared infrastructure, and spa operations verified</t>
        </is>
      </c>
      <c r="P80" s="5" t="inlineStr">
        <is>
          <t>Official Plan Row 82 (Task_Project_G1_IS2005.xlsx)</t>
        </is>
      </c>
    </row>
    <row r="81" ht="20" customHeight="1">
      <c r="A81" s="6" t="inlineStr">
        <is>
          <t>83</t>
        </is>
      </c>
      <c r="B81" s="6" t="inlineStr">
        <is>
          <t>5.3.4</t>
        </is>
      </c>
      <c r="C81" s="6" t="inlineStr">
        <is>
          <t>Revalidate + Lock Therapist/Room + Atomic Reservation</t>
        </is>
      </c>
      <c r="D81" s="6" t="inlineStr">
        <is>
          <t>Tất Đạt</t>
        </is>
      </c>
      <c r="E81" s="6" t="inlineStr">
        <is>
          <t>MEM-03</t>
        </is>
      </c>
      <c r="F81" s="6" t="inlineStr">
        <is>
          <t>Nguyễn Tất Đạt</t>
        </is>
      </c>
      <c r="G81" s="6" t="inlineStr">
        <is>
          <t>M3 - Spa &amp; Shared Infrastructure</t>
        </is>
      </c>
      <c r="H81" s="6" t="inlineStr">
        <is>
          <t>Complex</t>
        </is>
      </c>
      <c r="I81" s="6" t="inlineStr">
        <is>
          <t>Doing</t>
        </is>
      </c>
      <c r="J81" s="6" t="inlineStr">
        <is>
          <t>Branch NTDatZB (102 commits); merge commits 602c6f8, 0f257ad, 6ff5b9a, 39b086f, 9668586, 1f7ebc1</t>
        </is>
      </c>
      <c r="K81" s="6" t="inlineStr">
        <is>
          <t>SpaTreatmentController, SpaBookingService, CustomerStayPort, SecurityConfig, Design Tokens</t>
        </is>
      </c>
      <c r="L81" s="6" t="inlineStr">
        <is>
          <t>24 M3 tests + 252 shared infra tests (242 passed, 10 skipped live DB)</t>
        </is>
      </c>
      <c r="M81" s="8" t="inlineStr">
        <is>
          <t>MATCHED</t>
        </is>
      </c>
      <c r="N81" s="6" t="inlineStr">
        <is>
          <t>COMPLETED_VERIFIED</t>
        </is>
      </c>
      <c r="O81" s="6" t="inlineStr">
        <is>
          <t>Technical leadership, shared infrastructure, and spa operations verified</t>
        </is>
      </c>
      <c r="P81" s="6" t="inlineStr">
        <is>
          <t>Official Plan Row 83 (Task_Project_G1_IS2005.xlsx)</t>
        </is>
      </c>
    </row>
    <row r="82" ht="20" customHeight="1">
      <c r="A82" s="5" t="inlineStr">
        <is>
          <t>84</t>
        </is>
      </c>
      <c r="B82" s="5" t="inlineStr">
        <is>
          <t>5.3.5</t>
        </is>
      </c>
      <c r="C82" s="5" t="inlineStr">
        <is>
          <t>Handle No Availability &amp; HTTP 409 Concurrency Conflict</t>
        </is>
      </c>
      <c r="D82" s="5" t="inlineStr">
        <is>
          <t>Tất Đạt</t>
        </is>
      </c>
      <c r="E82" s="5" t="inlineStr">
        <is>
          <t>MEM-03</t>
        </is>
      </c>
      <c r="F82" s="5" t="inlineStr">
        <is>
          <t>Nguyễn Tất Đạt</t>
        </is>
      </c>
      <c r="G82" s="5" t="inlineStr">
        <is>
          <t>M3 - Spa &amp; Shared Infrastructure</t>
        </is>
      </c>
      <c r="H82" s="5" t="inlineStr">
        <is>
          <t>Complex</t>
        </is>
      </c>
      <c r="I82" s="5" t="inlineStr">
        <is>
          <t>Doing</t>
        </is>
      </c>
      <c r="J82" s="5" t="inlineStr">
        <is>
          <t>Branch NTDatZB (102 commits); merge commits 602c6f8, 0f257ad, 6ff5b9a, 39b086f, 9668586, 1f7ebc1</t>
        </is>
      </c>
      <c r="K82" s="5" t="inlineStr">
        <is>
          <t>SpaTreatmentController, SpaBookingService, CustomerStayPort, SecurityConfig, Design Tokens</t>
        </is>
      </c>
      <c r="L82" s="5" t="inlineStr">
        <is>
          <t>24 M3 tests + 252 shared infra tests (242 passed, 10 skipped live DB)</t>
        </is>
      </c>
      <c r="M82" s="8" t="inlineStr">
        <is>
          <t>MATCHED</t>
        </is>
      </c>
      <c r="N82" s="5" t="inlineStr">
        <is>
          <t>COMPLETED_VERIFIED</t>
        </is>
      </c>
      <c r="O82" s="5" t="inlineStr">
        <is>
          <t>Technical leadership, shared infrastructure, and spa operations verified</t>
        </is>
      </c>
      <c r="P82" s="5" t="inlineStr">
        <is>
          <t>Official Plan Row 84 (Task_Project_G1_IS2005.xlsx)</t>
        </is>
      </c>
    </row>
    <row r="83" ht="20" customHeight="1">
      <c r="A83" s="6" t="inlineStr">
        <is>
          <t>85</t>
        </is>
      </c>
      <c r="B83" s="6" t="inlineStr">
        <is>
          <t>5.3.6</t>
        </is>
      </c>
      <c r="C83" s="6" t="inlineStr">
        <is>
          <t>Implement Customer Reschedule &amp; System Recovery Flow</t>
        </is>
      </c>
      <c r="D83" s="6" t="inlineStr">
        <is>
          <t>Tất Đạt</t>
        </is>
      </c>
      <c r="E83" s="6" t="inlineStr">
        <is>
          <t>MEM-03</t>
        </is>
      </c>
      <c r="F83" s="6" t="inlineStr">
        <is>
          <t>Nguyễn Tất Đạt</t>
        </is>
      </c>
      <c r="G83" s="6" t="inlineStr">
        <is>
          <t>M3 - Spa &amp; Shared Infrastructure</t>
        </is>
      </c>
      <c r="H83" s="6" t="inlineStr">
        <is>
          <t>Complex</t>
        </is>
      </c>
      <c r="I83" s="6" t="inlineStr">
        <is>
          <t>Doing</t>
        </is>
      </c>
      <c r="J83" s="6" t="inlineStr">
        <is>
          <t>Branch NTDatZB (102 commits); merge commits 602c6f8, 0f257ad, 6ff5b9a, 39b086f, 9668586, 1f7ebc1</t>
        </is>
      </c>
      <c r="K83" s="6" t="inlineStr">
        <is>
          <t>SpaTreatmentController, SpaBookingService, CustomerStayPort, SecurityConfig, Design Tokens</t>
        </is>
      </c>
      <c r="L83" s="6" t="inlineStr">
        <is>
          <t>24 M3 tests + 252 shared infra tests (242 passed, 10 skipped live DB)</t>
        </is>
      </c>
      <c r="M83" s="8" t="inlineStr">
        <is>
          <t>MATCHED</t>
        </is>
      </c>
      <c r="N83" s="6" t="inlineStr">
        <is>
          <t>COMPLETED_VERIFIED</t>
        </is>
      </c>
      <c r="O83" s="6" t="inlineStr">
        <is>
          <t>Technical leadership, shared infrastructure, and spa operations verified</t>
        </is>
      </c>
      <c r="P83" s="6" t="inlineStr">
        <is>
          <t>Official Plan Row 85 (Task_Project_G1_IS2005.xlsx)</t>
        </is>
      </c>
    </row>
    <row r="84" ht="20" customHeight="1">
      <c r="A84" s="5" t="inlineStr">
        <is>
          <t>86</t>
        </is>
      </c>
      <c r="B84" s="5" t="inlineStr">
        <is>
          <t>5.3.7</t>
        </is>
      </c>
      <c r="C84" s="5" t="inlineStr">
        <is>
          <t>Implement Attendance Confirmation &amp; Reminder Timeline</t>
        </is>
      </c>
      <c r="D84" s="5" t="inlineStr">
        <is>
          <t>Tất Đạt</t>
        </is>
      </c>
      <c r="E84" s="5" t="inlineStr">
        <is>
          <t>MEM-03</t>
        </is>
      </c>
      <c r="F84" s="5" t="inlineStr">
        <is>
          <t>Nguyễn Tất Đạt</t>
        </is>
      </c>
      <c r="G84" s="5" t="inlineStr">
        <is>
          <t>M3 - Spa &amp; Shared Infrastructure</t>
        </is>
      </c>
      <c r="H84" s="5" t="inlineStr">
        <is>
          <t>Complex</t>
        </is>
      </c>
      <c r="I84" s="5" t="inlineStr">
        <is>
          <t>Doing</t>
        </is>
      </c>
      <c r="J84" s="5" t="inlineStr">
        <is>
          <t>Branch NTDatZB (102 commits); merge commits 602c6f8, 0f257ad, 6ff5b9a, 39b086f, 9668586, 1f7ebc1</t>
        </is>
      </c>
      <c r="K84" s="5" t="inlineStr">
        <is>
          <t>SpaTreatmentController, SpaBookingService, CustomerStayPort, SecurityConfig, Design Tokens</t>
        </is>
      </c>
      <c r="L84" s="5" t="inlineStr">
        <is>
          <t>24 M3 tests + 252 shared infra tests (242 passed, 10 skipped live DB)</t>
        </is>
      </c>
      <c r="M84" s="8" t="inlineStr">
        <is>
          <t>MATCHED</t>
        </is>
      </c>
      <c r="N84" s="5" t="inlineStr">
        <is>
          <t>COMPLETED_VERIFIED</t>
        </is>
      </c>
      <c r="O84" s="5" t="inlineStr">
        <is>
          <t>Technical leadership, shared infrastructure, and spa operations verified</t>
        </is>
      </c>
      <c r="P84" s="5" t="inlineStr">
        <is>
          <t>Official Plan Row 86 (Task_Project_G1_IS2005.xlsx)</t>
        </is>
      </c>
    </row>
    <row r="85" ht="20" customHeight="1">
      <c r="A85" s="6" t="inlineStr">
        <is>
          <t>87</t>
        </is>
      </c>
      <c r="B85" s="6" t="inlineStr">
        <is>
          <t>5.4.1</t>
        </is>
      </c>
      <c r="C85" s="6" t="inlineStr">
        <is>
          <t>Daily Meal Prep Dashboard + Ingredient Demand &amp; Inventory Alerts</t>
        </is>
      </c>
      <c r="D85" s="6" t="inlineStr">
        <is>
          <t>Phương Thảo</t>
        </is>
      </c>
      <c r="E85" s="6" t="inlineStr">
        <is>
          <t>MEM-04</t>
        </is>
      </c>
      <c r="F85" s="6" t="inlineStr">
        <is>
          <t>Vũ Phương Thảo</t>
        </is>
      </c>
      <c r="G85" s="6" t="inlineStr">
        <is>
          <t>M4 - Food &amp; Beverage</t>
        </is>
      </c>
      <c r="H85" s="6" t="inlineStr">
        <is>
          <t>Complex</t>
        </is>
      </c>
      <c r="I85" s="6" t="inlineStr">
        <is>
          <t>Doing</t>
        </is>
      </c>
      <c r="J85" s="6" t="inlineStr">
        <is>
          <t>Branch thao-product (57 commits); merged in 6ff5b9a</t>
        </is>
      </c>
      <c r="K85" s="6" t="inlineStr">
        <is>
          <t>FnbMenuController, DailyMealOrderController, KdsKitchenController, InventoryGuard</t>
        </is>
      </c>
      <c r="L85" s="6" t="inlineStr">
        <is>
          <t>42 backend tests in M4 (MealOrderServiceTest, InventoryServiceTest)</t>
        </is>
      </c>
      <c r="M85" s="8" t="inlineStr">
        <is>
          <t>MATCHED</t>
        </is>
      </c>
      <c r="N85" s="6" t="inlineStr">
        <is>
          <t>COMPLETED_VERIFIED</t>
        </is>
      </c>
      <c r="O85" s="6" t="inlineStr">
        <is>
          <t>Granular implementation verified; KDS queue and inventory deductions tested</t>
        </is>
      </c>
      <c r="P85" s="6" t="inlineStr">
        <is>
          <t>Official Plan Row 87 (Task_Project_G1_IS2005.xlsx)</t>
        </is>
      </c>
    </row>
    <row r="86" ht="20" customHeight="1">
      <c r="A86" s="5" t="inlineStr">
        <is>
          <t>88</t>
        </is>
      </c>
      <c r="B86" s="5" t="inlineStr">
        <is>
          <t>5.4.2</t>
        </is>
      </c>
      <c r="C86" s="5" t="inlineStr">
        <is>
          <t>Aggregate Daily Meal Orders &amp; Calculate Ingredient Demand</t>
        </is>
      </c>
      <c r="D86" s="5" t="inlineStr">
        <is>
          <t>Phương Thảo</t>
        </is>
      </c>
      <c r="E86" s="5" t="inlineStr">
        <is>
          <t>MEM-04</t>
        </is>
      </c>
      <c r="F86" s="5" t="inlineStr">
        <is>
          <t>Vũ Phương Thảo</t>
        </is>
      </c>
      <c r="G86" s="5" t="inlineStr">
        <is>
          <t>M4 - Food &amp; Beverage</t>
        </is>
      </c>
      <c r="H86" s="5" t="inlineStr">
        <is>
          <t>Complex</t>
        </is>
      </c>
      <c r="I86" s="5" t="inlineStr">
        <is>
          <t>Doing</t>
        </is>
      </c>
      <c r="J86" s="5" t="inlineStr">
        <is>
          <t>Branch thao-product (57 commits); merged in 6ff5b9a</t>
        </is>
      </c>
      <c r="K86" s="5" t="inlineStr">
        <is>
          <t>FnbMenuController, DailyMealOrderController, KdsKitchenController, InventoryGuard</t>
        </is>
      </c>
      <c r="L86" s="5" t="inlineStr">
        <is>
          <t>42 backend tests in M4 (MealOrderServiceTest, InventoryServiceTest)</t>
        </is>
      </c>
      <c r="M86" s="8" t="inlineStr">
        <is>
          <t>MATCHED</t>
        </is>
      </c>
      <c r="N86" s="5" t="inlineStr">
        <is>
          <t>COMPLETED_VERIFIED</t>
        </is>
      </c>
      <c r="O86" s="5" t="inlineStr">
        <is>
          <t>Granular implementation verified; KDS queue and inventory deductions tested</t>
        </is>
      </c>
      <c r="P86" s="5" t="inlineStr">
        <is>
          <t>Official Plan Row 88 (Task_Project_G1_IS2005.xlsx)</t>
        </is>
      </c>
    </row>
    <row r="87" ht="20" customHeight="1">
      <c r="A87" s="6" t="inlineStr">
        <is>
          <t>89</t>
        </is>
      </c>
      <c r="B87" s="6" t="inlineStr">
        <is>
          <t>5.4.3</t>
        </is>
      </c>
      <c r="C87" s="6" t="inlineStr">
        <is>
          <t>Display Dietary Warnings + Ingredient Availability Alerts</t>
        </is>
      </c>
      <c r="D87" s="6" t="inlineStr">
        <is>
          <t>Phương Thảo</t>
        </is>
      </c>
      <c r="E87" s="6" t="inlineStr">
        <is>
          <t>MEM-04</t>
        </is>
      </c>
      <c r="F87" s="6" t="inlineStr">
        <is>
          <t>Vũ Phương Thảo</t>
        </is>
      </c>
      <c r="G87" s="6" t="inlineStr">
        <is>
          <t>M4 - Food &amp; Beverage</t>
        </is>
      </c>
      <c r="H87" s="6" t="inlineStr">
        <is>
          <t>Medium</t>
        </is>
      </c>
      <c r="I87" s="6" t="inlineStr">
        <is>
          <t>Doing</t>
        </is>
      </c>
      <c r="J87" s="6" t="inlineStr">
        <is>
          <t>Branch thao-product (57 commits); merged in 6ff5b9a</t>
        </is>
      </c>
      <c r="K87" s="6" t="inlineStr">
        <is>
          <t>FnbMenuController, DailyMealOrderController, KdsKitchenController, InventoryGuard</t>
        </is>
      </c>
      <c r="L87" s="6" t="inlineStr">
        <is>
          <t>42 backend tests in M4 (MealOrderServiceTest, InventoryServiceTest)</t>
        </is>
      </c>
      <c r="M87" s="8" t="inlineStr">
        <is>
          <t>MATCHED</t>
        </is>
      </c>
      <c r="N87" s="6" t="inlineStr">
        <is>
          <t>COMPLETED_VERIFIED</t>
        </is>
      </c>
      <c r="O87" s="6" t="inlineStr">
        <is>
          <t>Granular implementation verified; KDS queue and inventory deductions tested</t>
        </is>
      </c>
      <c r="P87" s="6" t="inlineStr">
        <is>
          <t>Official Plan Row 89 (Task_Project_G1_IS2005.xlsx)</t>
        </is>
      </c>
    </row>
    <row r="88" ht="20" customHeight="1">
      <c r="A88" s="5" t="inlineStr">
        <is>
          <t>90</t>
        </is>
      </c>
      <c r="B88" s="5" t="inlineStr">
        <is>
          <t>5.5.1</t>
        </is>
      </c>
      <c r="C88" s="5" t="inlineStr">
        <is>
          <t>Process Final Payment, Update Villa Status</t>
        </is>
      </c>
      <c r="D88" s="5" t="inlineStr">
        <is>
          <t>Xuân Hòa</t>
        </is>
      </c>
      <c r="E88" s="5" t="inlineStr">
        <is>
          <t>MEM-05</t>
        </is>
      </c>
      <c r="F88" s="5" t="inlineStr">
        <is>
          <t>Tăng Xuân Hòa</t>
        </is>
      </c>
      <c r="G88" s="5" t="inlineStr">
        <is>
          <t>M5 - Billing &amp; Checkout</t>
        </is>
      </c>
      <c r="H88" s="5" t="inlineStr">
        <is>
          <t>Complex</t>
        </is>
      </c>
      <c r="I88" s="5" t="inlineStr">
        <is>
          <t>Doing</t>
        </is>
      </c>
      <c r="J88" s="5" t="inlineStr">
        <is>
          <t>Branches XH, XH4 (8 commits); commit ebaddc7 (7608 lines); harmonized in 9668586</t>
        </is>
      </c>
      <c r="K88" s="5" t="inlineStr">
        <is>
          <t>BillingFolioController, InvoiceExportController, CustomerReviewController, PdfGenerator</t>
        </is>
      </c>
      <c r="L88" s="5" t="inlineStr">
        <is>
          <t>48 backend tests in M5BillingAndCheckoutTests</t>
        </is>
      </c>
      <c r="M88" s="8" t="inlineStr">
        <is>
          <t>MATCHED</t>
        </is>
      </c>
      <c r="N88" s="5" t="inlineStr">
        <is>
          <t>COMPLETED_VERIFIED</t>
        </is>
      </c>
      <c r="O88" s="5" t="inlineStr">
        <is>
          <t>Financial billing engine verified; post-merge harmonization eliminated duplicate entities</t>
        </is>
      </c>
      <c r="P88" s="5" t="inlineStr">
        <is>
          <t>Official Plan Row 90 (Task_Project_G1_IS2005.xlsx)</t>
        </is>
      </c>
    </row>
    <row r="89" ht="20" customHeight="1">
      <c r="A89" s="6" t="inlineStr">
        <is>
          <t>91</t>
        </is>
      </c>
      <c r="B89" s="6" t="inlineStr">
        <is>
          <t>5.5.2</t>
        </is>
      </c>
      <c r="C89" s="6" t="inlineStr">
        <is>
          <t>Check Pending/Unpaid Extra Spa &amp; F&amp;B Charges Before Checkout</t>
        </is>
      </c>
      <c r="D89" s="6" t="inlineStr">
        <is>
          <t>Xuân Hòa</t>
        </is>
      </c>
      <c r="E89" s="6" t="inlineStr">
        <is>
          <t>MEM-05</t>
        </is>
      </c>
      <c r="F89" s="6" t="inlineStr">
        <is>
          <t>Tăng Xuân Hòa</t>
        </is>
      </c>
      <c r="G89" s="6" t="inlineStr">
        <is>
          <t>M5 - Billing &amp; Checkout</t>
        </is>
      </c>
      <c r="H89" s="6" t="inlineStr">
        <is>
          <t>Complex</t>
        </is>
      </c>
      <c r="I89" s="6" t="inlineStr">
        <is>
          <t>Doing</t>
        </is>
      </c>
      <c r="J89" s="6" t="inlineStr">
        <is>
          <t>Branches XH, XH4 (8 commits); commit ebaddc7 (7608 lines); harmonized in 9668586</t>
        </is>
      </c>
      <c r="K89" s="6" t="inlineStr">
        <is>
          <t>BillingFolioController, InvoiceExportController, CustomerReviewController, PdfGenerator</t>
        </is>
      </c>
      <c r="L89" s="6" t="inlineStr">
        <is>
          <t>48 backend tests in M5BillingAndCheckoutTests</t>
        </is>
      </c>
      <c r="M89" s="8" t="inlineStr">
        <is>
          <t>MATCHED</t>
        </is>
      </c>
      <c r="N89" s="6" t="inlineStr">
        <is>
          <t>COMPLETED_VERIFIED</t>
        </is>
      </c>
      <c r="O89" s="6" t="inlineStr">
        <is>
          <t>Financial billing engine verified; post-merge harmonization eliminated duplicate entities</t>
        </is>
      </c>
      <c r="P89" s="6" t="inlineStr">
        <is>
          <t>Official Plan Row 91 (Task_Project_G1_IS2005.xlsx)</t>
        </is>
      </c>
    </row>
    <row r="90" ht="20" customHeight="1">
      <c r="A90" s="5" t="inlineStr">
        <is>
          <t>92</t>
        </is>
      </c>
      <c r="B90" s="5" t="inlineStr">
        <is>
          <t>5.5.3</t>
        </is>
      </c>
      <c r="C90" s="5" t="inlineStr">
        <is>
          <t>Block Checkout if Outstanding Charges Exist</t>
        </is>
      </c>
      <c r="D90" s="5" t="inlineStr">
        <is>
          <t>Xuân Hòa</t>
        </is>
      </c>
      <c r="E90" s="5" t="inlineStr">
        <is>
          <t>MEM-05</t>
        </is>
      </c>
      <c r="F90" s="5" t="inlineStr">
        <is>
          <t>Tăng Xuân Hòa</t>
        </is>
      </c>
      <c r="G90" s="5" t="inlineStr">
        <is>
          <t>M5 - Billing &amp; Checkout</t>
        </is>
      </c>
      <c r="H90" s="5" t="inlineStr">
        <is>
          <t>Medium</t>
        </is>
      </c>
      <c r="I90" s="5" t="inlineStr">
        <is>
          <t>Doing</t>
        </is>
      </c>
      <c r="J90" s="5" t="inlineStr">
        <is>
          <t>Branches XH, XH4 (8 commits); commit ebaddc7 (7608 lines); harmonized in 9668586</t>
        </is>
      </c>
      <c r="K90" s="5" t="inlineStr">
        <is>
          <t>BillingFolioController, InvoiceExportController, CustomerReviewController, PdfGenerator</t>
        </is>
      </c>
      <c r="L90" s="5" t="inlineStr">
        <is>
          <t>48 backend tests in M5BillingAndCheckoutTests</t>
        </is>
      </c>
      <c r="M90" s="8" t="inlineStr">
        <is>
          <t>MATCHED</t>
        </is>
      </c>
      <c r="N90" s="5" t="inlineStr">
        <is>
          <t>COMPLETED_VERIFIED</t>
        </is>
      </c>
      <c r="O90" s="5" t="inlineStr">
        <is>
          <t>Financial billing engine verified; post-merge harmonization eliminated duplicate entities</t>
        </is>
      </c>
      <c r="P90" s="5" t="inlineStr">
        <is>
          <t>Official Plan Row 92 (Task_Project_G1_IS2005.xlsx)</t>
        </is>
      </c>
    </row>
    <row r="91" ht="20" customHeight="1">
      <c r="A91" s="6" t="inlineStr">
        <is>
          <t>93</t>
        </is>
      </c>
      <c r="B91" s="6" t="inlineStr">
        <is>
          <t>5.5.4</t>
        </is>
      </c>
      <c r="C91" s="6" t="inlineStr">
        <is>
          <t>Process Final Payment</t>
        </is>
      </c>
      <c r="D91" s="6" t="inlineStr">
        <is>
          <t>Xuân Hòa</t>
        </is>
      </c>
      <c r="E91" s="6" t="inlineStr">
        <is>
          <t>MEM-05</t>
        </is>
      </c>
      <c r="F91" s="6" t="inlineStr">
        <is>
          <t>Tăng Xuân Hòa</t>
        </is>
      </c>
      <c r="G91" s="6" t="inlineStr">
        <is>
          <t>M5 - Billing &amp; Checkout</t>
        </is>
      </c>
      <c r="H91" s="6" t="inlineStr">
        <is>
          <t>Complex</t>
        </is>
      </c>
      <c r="I91" s="6" t="inlineStr">
        <is>
          <t>Doing</t>
        </is>
      </c>
      <c r="J91" s="6" t="inlineStr">
        <is>
          <t>Branches XH, XH4 (8 commits); commit ebaddc7 (7608 lines); harmonized in 9668586</t>
        </is>
      </c>
      <c r="K91" s="6" t="inlineStr">
        <is>
          <t>BillingFolioController, InvoiceExportController, CustomerReviewController, PdfGenerator</t>
        </is>
      </c>
      <c r="L91" s="6" t="inlineStr">
        <is>
          <t>48 backend tests in M5BillingAndCheckoutTests</t>
        </is>
      </c>
      <c r="M91" s="8" t="inlineStr">
        <is>
          <t>MATCHED</t>
        </is>
      </c>
      <c r="N91" s="6" t="inlineStr">
        <is>
          <t>COMPLETED_VERIFIED</t>
        </is>
      </c>
      <c r="O91" s="6" t="inlineStr">
        <is>
          <t>Financial billing engine verified; post-merge harmonization eliminated duplicate entities</t>
        </is>
      </c>
      <c r="P91" s="6" t="inlineStr">
        <is>
          <t>Official Plan Row 93 (Task_Project_G1_IS2005.xlsx)</t>
        </is>
      </c>
    </row>
    <row r="92" ht="20" customHeight="1">
      <c r="A92" s="5" t="inlineStr">
        <is>
          <t>94</t>
        </is>
      </c>
      <c r="B92" s="5" t="inlineStr">
        <is>
          <t>5.5.5</t>
        </is>
      </c>
      <c r="C92" s="5" t="inlineStr">
        <is>
          <t>Update Booking &amp; Physical Villa State after Checkout</t>
        </is>
      </c>
      <c r="D92" s="5" t="inlineStr">
        <is>
          <t>Xuân Hòa</t>
        </is>
      </c>
      <c r="E92" s="5" t="inlineStr">
        <is>
          <t>MEM-05</t>
        </is>
      </c>
      <c r="F92" s="5" t="inlineStr">
        <is>
          <t>Tăng Xuân Hòa</t>
        </is>
      </c>
      <c r="G92" s="5" t="inlineStr">
        <is>
          <t>M5 - Billing &amp; Checkout</t>
        </is>
      </c>
      <c r="H92" s="5" t="inlineStr">
        <is>
          <t>Medium</t>
        </is>
      </c>
      <c r="I92" s="5" t="inlineStr">
        <is>
          <t>Doing</t>
        </is>
      </c>
      <c r="J92" s="5" t="inlineStr">
        <is>
          <t>Branches XH, XH4 (8 commits); commit ebaddc7 (7608 lines); harmonized in 9668586</t>
        </is>
      </c>
      <c r="K92" s="5" t="inlineStr">
        <is>
          <t>BillingFolioController, InvoiceExportController, CustomerReviewController, PdfGenerator</t>
        </is>
      </c>
      <c r="L92" s="5" t="inlineStr">
        <is>
          <t>48 backend tests in M5BillingAndCheckoutTests</t>
        </is>
      </c>
      <c r="M92" s="8" t="inlineStr">
        <is>
          <t>MATCHED</t>
        </is>
      </c>
      <c r="N92" s="5" t="inlineStr">
        <is>
          <t>COMPLETED_VERIFIED</t>
        </is>
      </c>
      <c r="O92" s="5" t="inlineStr">
        <is>
          <t>Financial billing engine verified; post-merge harmonization eliminated duplicate entities</t>
        </is>
      </c>
      <c r="P92" s="5" t="inlineStr">
        <is>
          <t>Official Plan Row 94 (Task_Project_G1_IS2005.xlsx)</t>
        </is>
      </c>
    </row>
    <row r="93" ht="20" customHeight="1">
      <c r="A93" s="6" t="inlineStr">
        <is>
          <t>95</t>
        </is>
      </c>
      <c r="B93" s="6" t="inlineStr">
        <is>
          <t>5.6.1</t>
        </is>
      </c>
      <c r="C93" s="6" t="inlineStr">
        <is>
          <t>Feature flag toggle per module</t>
        </is>
      </c>
      <c r="D93" s="6" t="inlineStr">
        <is>
          <t>Thành Vinh</t>
        </is>
      </c>
      <c r="E93" s="6" t="inlineStr">
        <is>
          <t>MEM-06</t>
        </is>
      </c>
      <c r="F93" s="6" t="inlineStr">
        <is>
          <t>Phạm Thành Vinh</t>
        </is>
      </c>
      <c r="G93" s="6" t="inlineStr">
        <is>
          <t>M6 - Admin &amp; Governance</t>
        </is>
      </c>
      <c r="H93" s="6" t="inlineStr">
        <is>
          <t>Medium</t>
        </is>
      </c>
      <c r="I93" s="6" t="inlineStr">
        <is>
          <t>Doing</t>
        </is>
      </c>
      <c r="J93" s="6" t="inlineStr">
        <is>
          <t>Branches vinhpt, vinhpt1 (22 commits); merged in 39b086f; test fix 1f7ebc1</t>
        </is>
      </c>
      <c r="K93" s="6" t="inlineStr">
        <is>
          <t>VillaManagementPage.tsx (2765 lines), SpaManagementPage.tsx (1843 lines), 11 operational modals</t>
        </is>
      </c>
      <c r="L93" s="6" t="inlineStr">
        <is>
          <t>49 backend tests in M6 (M6AdminIntegrationTests, DelegationServiceTest)</t>
        </is>
      </c>
      <c r="M93" s="8" t="inlineStr">
        <is>
          <t>MATCHED</t>
        </is>
      </c>
      <c r="N93" s="6" t="inlineStr">
        <is>
          <t>COMPLETED_VERIFIED</t>
        </is>
      </c>
      <c r="O93" s="6" t="inlineStr">
        <is>
          <t>Extensive frontend management UI and backend governance verified</t>
        </is>
      </c>
      <c r="P93" s="6" t="inlineStr">
        <is>
          <t>Official Plan Row 95 (Task_Project_G1_IS2005.xlsx)</t>
        </is>
      </c>
    </row>
    <row r="94" ht="20" customHeight="1">
      <c r="A94" s="5" t="inlineStr">
        <is>
          <t>96</t>
        </is>
      </c>
      <c r="B94" s="5" t="inlineStr">
        <is>
          <t>5.6.2</t>
        </is>
      </c>
      <c r="C94" s="5" t="inlineStr">
        <is>
          <t>Build Feature-Flag Store</t>
        </is>
      </c>
      <c r="D94" s="5" t="inlineStr">
        <is>
          <t>Thành Vinh</t>
        </is>
      </c>
      <c r="E94" s="5" t="inlineStr">
        <is>
          <t>MEM-06</t>
        </is>
      </c>
      <c r="F94" s="5" t="inlineStr">
        <is>
          <t>Phạm Thành Vinh</t>
        </is>
      </c>
      <c r="G94" s="5" t="inlineStr">
        <is>
          <t>M6 - Admin &amp; Governance</t>
        </is>
      </c>
      <c r="H94" s="5" t="inlineStr">
        <is>
          <t>Medium</t>
        </is>
      </c>
      <c r="I94" s="5" t="inlineStr">
        <is>
          <t>Doing</t>
        </is>
      </c>
      <c r="J94" s="5" t="inlineStr">
        <is>
          <t>Branches vinhpt, vinhpt1 (22 commits); merged in 39b086f; test fix 1f7ebc1</t>
        </is>
      </c>
      <c r="K94" s="5" t="inlineStr">
        <is>
          <t>VillaManagementPage.tsx (2765 lines), SpaManagementPage.tsx (1843 lines), 11 operational modals</t>
        </is>
      </c>
      <c r="L94" s="5" t="inlineStr">
        <is>
          <t>49 backend tests in M6 (M6AdminIntegrationTests, DelegationServiceTest)</t>
        </is>
      </c>
      <c r="M94" s="8" t="inlineStr">
        <is>
          <t>MATCHED</t>
        </is>
      </c>
      <c r="N94" s="5" t="inlineStr">
        <is>
          <t>COMPLETED_VERIFIED</t>
        </is>
      </c>
      <c r="O94" s="5" t="inlineStr">
        <is>
          <t>Extensive frontend management UI and backend governance verified</t>
        </is>
      </c>
      <c r="P94" s="5" t="inlineStr">
        <is>
          <t>Official Plan Row 96 (Task_Project_G1_IS2005.xlsx)</t>
        </is>
      </c>
    </row>
    <row r="95" ht="20" customHeight="1">
      <c r="A95" s="6" t="inlineStr">
        <is>
          <t>97</t>
        </is>
      </c>
      <c r="B95" s="6" t="inlineStr">
        <is>
          <t>5.6.3</t>
        </is>
      </c>
      <c r="C95" s="6" t="inlineStr">
        <is>
          <t>Toggle Feature Flag per Module (Admin UI)</t>
        </is>
      </c>
      <c r="D95" s="6" t="inlineStr">
        <is>
          <t>Thành Vinh</t>
        </is>
      </c>
      <c r="E95" s="6" t="inlineStr">
        <is>
          <t>MEM-06</t>
        </is>
      </c>
      <c r="F95" s="6" t="inlineStr">
        <is>
          <t>Phạm Thành Vinh</t>
        </is>
      </c>
      <c r="G95" s="6" t="inlineStr">
        <is>
          <t>M6 - Admin &amp; Governance</t>
        </is>
      </c>
      <c r="H95" s="6" t="inlineStr">
        <is>
          <t>Simple</t>
        </is>
      </c>
      <c r="I95" s="6" t="inlineStr">
        <is>
          <t>Doing</t>
        </is>
      </c>
      <c r="J95" s="6" t="inlineStr">
        <is>
          <t>Branches vinhpt, vinhpt1 (22 commits); merged in 39b086f; test fix 1f7ebc1</t>
        </is>
      </c>
      <c r="K95" s="6" t="inlineStr">
        <is>
          <t>VillaManagementPage.tsx (2765 lines), SpaManagementPage.tsx (1843 lines), 11 operational modals</t>
        </is>
      </c>
      <c r="L95" s="6" t="inlineStr">
        <is>
          <t>49 backend tests in M6 (M6AdminIntegrationTests, DelegationServiceTest)</t>
        </is>
      </c>
      <c r="M95" s="8" t="inlineStr">
        <is>
          <t>MATCHED</t>
        </is>
      </c>
      <c r="N95" s="6" t="inlineStr">
        <is>
          <t>COMPLETED_VERIFIED</t>
        </is>
      </c>
      <c r="O95" s="6" t="inlineStr">
        <is>
          <t>Extensive frontend management UI and backend governance verified</t>
        </is>
      </c>
      <c r="P95" s="6" t="inlineStr">
        <is>
          <t>Official Plan Row 97 (Task_Project_G1_IS2005.xlsx)</t>
        </is>
      </c>
    </row>
    <row r="96" ht="20" customHeight="1">
      <c r="A96" s="5" t="inlineStr">
        <is>
          <t>98</t>
        </is>
      </c>
      <c r="B96" s="5" t="inlineStr">
        <is>
          <t>6</t>
        </is>
      </c>
      <c r="C96" s="5" t="inlineStr">
        <is>
          <t>Operational Workflows</t>
        </is>
      </c>
      <c r="D96" s="5" t="inlineStr">
        <is>
          <t>UNASSIGNED</t>
        </is>
      </c>
      <c r="E96" s="5" t="inlineStr">
        <is>
          <t>UNASSIGNED</t>
        </is>
      </c>
      <c r="F96" s="5" t="inlineStr">
        <is>
          <t>Unassigned / Milestone Header</t>
        </is>
      </c>
      <c r="G96" s="5" t="inlineStr">
        <is>
          <t>Cross-Module</t>
        </is>
      </c>
      <c r="H96" s="5" t="inlineStr">
        <is>
          <t>Unspecified</t>
        </is>
      </c>
      <c r="I96" s="5" t="inlineStr">
        <is>
          <t>To do</t>
        </is>
      </c>
      <c r="J96" s="5" t="inlineStr">
        <is>
          <t>N/A (Milestone/Section Grouping Container)</t>
        </is>
      </c>
      <c r="K96" s="5" t="inlineStr">
        <is>
          <t>Organizational milestone or phase umbrella header</t>
        </is>
      </c>
      <c r="L96" s="5" t="inlineStr">
        <is>
          <t>N/A</t>
        </is>
      </c>
      <c r="M96" s="5" t="inlineStr">
        <is>
          <t>UNASSIGNED</t>
        </is>
      </c>
      <c r="N96" s="5" t="inlineStr">
        <is>
          <t>NOT_ASSESSABLE</t>
        </is>
      </c>
      <c r="O96" s="5" t="inlineStr">
        <is>
          <t>Milestone structure verified in planning baseline</t>
        </is>
      </c>
      <c r="P96" s="5" t="inlineStr">
        <is>
          <t>Official Plan Row 98 (Task_Project_G1_IS2005.xlsx)</t>
        </is>
      </c>
    </row>
    <row r="97" ht="20" customHeight="1">
      <c r="A97" s="6" t="inlineStr">
        <is>
          <t>99</t>
        </is>
      </c>
      <c r="B97" s="6" t="inlineStr">
        <is>
          <t>6.1.1</t>
        </is>
      </c>
      <c r="C97" s="6" t="inlineStr">
        <is>
          <t>Manage Staff Accounts &amp; Role Assignments</t>
        </is>
      </c>
      <c r="D97" s="6" t="inlineStr">
        <is>
          <t>Thành Vinh</t>
        </is>
      </c>
      <c r="E97" s="6" t="inlineStr">
        <is>
          <t>MEM-06</t>
        </is>
      </c>
      <c r="F97" s="6" t="inlineStr">
        <is>
          <t>Phạm Thành Vinh</t>
        </is>
      </c>
      <c r="G97" s="6" t="inlineStr">
        <is>
          <t>M6 - Admin &amp; Governance</t>
        </is>
      </c>
      <c r="H97" s="6" t="inlineStr">
        <is>
          <t>Complex</t>
        </is>
      </c>
      <c r="I97" s="6" t="inlineStr">
        <is>
          <t>To do</t>
        </is>
      </c>
      <c r="J97" s="6" t="inlineStr">
        <is>
          <t>Branches vinhpt, vinhpt1 (22 commits); merged in 39b086f; test fix 1f7ebc1</t>
        </is>
      </c>
      <c r="K97" s="6" t="inlineStr">
        <is>
          <t>VillaManagementPage.tsx (2765 lines), SpaManagementPage.tsx (1843 lines), 11 operational modals</t>
        </is>
      </c>
      <c r="L97" s="6" t="inlineStr">
        <is>
          <t>49 backend tests in M6 (M6AdminIntegrationTests, DelegationServiceTest)</t>
        </is>
      </c>
      <c r="M97" s="8" t="inlineStr">
        <is>
          <t>MATCHED</t>
        </is>
      </c>
      <c r="N97" s="6" t="inlineStr">
        <is>
          <t>COMPLETED_VERIFIED</t>
        </is>
      </c>
      <c r="O97" s="6" t="inlineStr">
        <is>
          <t>Extensive frontend management UI and backend governance verified</t>
        </is>
      </c>
      <c r="P97" s="6" t="inlineStr">
        <is>
          <t>Official Plan Row 99 (Task_Project_G1_IS2005.xlsx)</t>
        </is>
      </c>
    </row>
    <row r="98" ht="20" customHeight="1">
      <c r="A98" s="5" t="inlineStr">
        <is>
          <t>100</t>
        </is>
      </c>
      <c r="B98" s="5" t="inlineStr">
        <is>
          <t>6.1.2</t>
        </is>
      </c>
      <c r="C98" s="5" t="inlineStr">
        <is>
          <t>Create Staff Account</t>
        </is>
      </c>
      <c r="D98" s="5" t="inlineStr">
        <is>
          <t>Thành Vinh</t>
        </is>
      </c>
      <c r="E98" s="5" t="inlineStr">
        <is>
          <t>MEM-06</t>
        </is>
      </c>
      <c r="F98" s="5" t="inlineStr">
        <is>
          <t>Phạm Thành Vinh</t>
        </is>
      </c>
      <c r="G98" s="5" t="inlineStr">
        <is>
          <t>M6 - Admin &amp; Governance</t>
        </is>
      </c>
      <c r="H98" s="5" t="inlineStr">
        <is>
          <t>Medium</t>
        </is>
      </c>
      <c r="I98" s="5" t="inlineStr">
        <is>
          <t>To do</t>
        </is>
      </c>
      <c r="J98" s="5" t="inlineStr">
        <is>
          <t>Branches vinhpt, vinhpt1 (22 commits); merged in 39b086f; test fix 1f7ebc1</t>
        </is>
      </c>
      <c r="K98" s="5" t="inlineStr">
        <is>
          <t>VillaManagementPage.tsx (2765 lines), SpaManagementPage.tsx (1843 lines), 11 operational modals</t>
        </is>
      </c>
      <c r="L98" s="5" t="inlineStr">
        <is>
          <t>49 backend tests in M6 (M6AdminIntegrationTests, DelegationServiceTest)</t>
        </is>
      </c>
      <c r="M98" s="8" t="inlineStr">
        <is>
          <t>MATCHED</t>
        </is>
      </c>
      <c r="N98" s="5" t="inlineStr">
        <is>
          <t>COMPLETED_VERIFIED</t>
        </is>
      </c>
      <c r="O98" s="5" t="inlineStr">
        <is>
          <t>Extensive frontend management UI and backend governance verified</t>
        </is>
      </c>
      <c r="P98" s="5" t="inlineStr">
        <is>
          <t>Official Plan Row 100 (Task_Project_G1_IS2005.xlsx)</t>
        </is>
      </c>
    </row>
    <row r="99" ht="20" customHeight="1">
      <c r="A99" s="6" t="inlineStr">
        <is>
          <t>101</t>
        </is>
      </c>
      <c r="B99" s="6" t="inlineStr">
        <is>
          <t>6.1.3</t>
        </is>
      </c>
      <c r="C99" s="6" t="inlineStr">
        <is>
          <t>Assign Approved Role (Receptionist/Therapist/F&amp;B Staff/Manager/Admin)</t>
        </is>
      </c>
      <c r="D99" s="6" t="inlineStr">
        <is>
          <t>Đức Hoàng</t>
        </is>
      </c>
      <c r="E99" s="6" t="inlineStr">
        <is>
          <t>MEM-01</t>
        </is>
      </c>
      <c r="F99" s="6" t="inlineStr">
        <is>
          <t>Lê Đức Hoàng</t>
        </is>
      </c>
      <c r="G99" s="6" t="inlineStr">
        <is>
          <t>M1 - Identity &amp; Access</t>
        </is>
      </c>
      <c r="H99" s="6" t="inlineStr">
        <is>
          <t>Complex</t>
        </is>
      </c>
      <c r="I99" s="6" t="inlineStr">
        <is>
          <t>To do</t>
        </is>
      </c>
      <c r="J99" s="6" t="inlineStr">
        <is>
          <t>Branch DucHoangM1 (13 commits); merged in 602c6f8</t>
        </is>
      </c>
      <c r="K99" s="6" t="inlineStr">
        <is>
          <t>AuthController, CustomerProfileController, GdprController, UserDetailsServiceImpl</t>
        </is>
      </c>
      <c r="L99" s="6" t="inlineStr">
        <is>
          <t>77 backend tests in M1; mocked Google/Facebook SSO slices</t>
        </is>
      </c>
      <c r="M99" s="8" t="inlineStr">
        <is>
          <t>MATCHED</t>
        </is>
      </c>
      <c r="N99" s="6" t="inlineStr">
        <is>
          <t>COMPLETED_VERIFIED</t>
        </is>
      </c>
      <c r="O99" s="6" t="inlineStr">
        <is>
          <t>Implementation verified in code; external SSO/OTP live callbacks require staging (GAP-02, GAP-08)</t>
        </is>
      </c>
      <c r="P99" s="6" t="inlineStr">
        <is>
          <t>Official Plan Row 101 (Task_Project_G1_IS2005.xlsx)</t>
        </is>
      </c>
    </row>
    <row r="100" ht="20" customHeight="1">
      <c r="A100" s="5" t="inlineStr">
        <is>
          <t>102</t>
        </is>
      </c>
      <c r="B100" s="5" t="inlineStr">
        <is>
          <t>6.1.4</t>
        </is>
      </c>
      <c r="C100" s="5" t="inlineStr">
        <is>
          <t>Edit/Deactivate Staff Account</t>
        </is>
      </c>
      <c r="D100" s="5" t="inlineStr">
        <is>
          <t>Thành Vinh</t>
        </is>
      </c>
      <c r="E100" s="5" t="inlineStr">
        <is>
          <t>MEM-06</t>
        </is>
      </c>
      <c r="F100" s="5" t="inlineStr">
        <is>
          <t>Phạm Thành Vinh</t>
        </is>
      </c>
      <c r="G100" s="5" t="inlineStr">
        <is>
          <t>M6 - Admin &amp; Governance</t>
        </is>
      </c>
      <c r="H100" s="5" t="inlineStr">
        <is>
          <t>Medium</t>
        </is>
      </c>
      <c r="I100" s="5" t="inlineStr">
        <is>
          <t>To do</t>
        </is>
      </c>
      <c r="J100" s="5" t="inlineStr">
        <is>
          <t>Branches vinhpt, vinhpt1 (22 commits); merged in 39b086f; test fix 1f7ebc1</t>
        </is>
      </c>
      <c r="K100" s="5" t="inlineStr">
        <is>
          <t>VillaManagementPage.tsx (2765 lines), SpaManagementPage.tsx (1843 lines), 11 operational modals</t>
        </is>
      </c>
      <c r="L100" s="5" t="inlineStr">
        <is>
          <t>49 backend tests in M6 (M6AdminIntegrationTests, DelegationServiceTest)</t>
        </is>
      </c>
      <c r="M100" s="8" t="inlineStr">
        <is>
          <t>MATCHED</t>
        </is>
      </c>
      <c r="N100" s="5" t="inlineStr">
        <is>
          <t>COMPLETED_VERIFIED</t>
        </is>
      </c>
      <c r="O100" s="5" t="inlineStr">
        <is>
          <t>Extensive frontend management UI and backend governance verified</t>
        </is>
      </c>
      <c r="P100" s="5" t="inlineStr">
        <is>
          <t>Official Plan Row 102 (Task_Project_G1_IS2005.xlsx)</t>
        </is>
      </c>
    </row>
    <row r="101" ht="20" customHeight="1">
      <c r="A101" s="6" t="inlineStr">
        <is>
          <t>103</t>
        </is>
      </c>
      <c r="B101" s="6" t="inlineStr">
        <is>
          <t>6.2.1</t>
        </is>
      </c>
      <c r="C101" s="6" t="inlineStr">
        <is>
          <t>Dashboard of Arrivals + Check-In + Residence Declaration</t>
        </is>
      </c>
      <c r="D101" s="6" t="inlineStr">
        <is>
          <t>Gia Đạt</t>
        </is>
      </c>
      <c r="E101" s="6" t="inlineStr">
        <is>
          <t>MEM-02</t>
        </is>
      </c>
      <c r="F101" s="6" t="inlineStr">
        <is>
          <t>Nguyễn Gia Đạt</t>
        </is>
      </c>
      <c r="G101" s="6" t="inlineStr">
        <is>
          <t>M2 - Booking &amp; Reservation</t>
        </is>
      </c>
      <c r="H101" s="6" t="inlineStr">
        <is>
          <t>Complex</t>
        </is>
      </c>
      <c r="I101" s="6" t="inlineStr">
        <is>
          <t>To do</t>
        </is>
      </c>
      <c r="J101" s="6" t="inlineStr">
        <is>
          <t>Branch dat-nguyen-gia (8 commits); commit 4bd4ecd (3417 lines); merged in 0f257ad</t>
        </is>
      </c>
      <c r="K101" s="6" t="inlineStr">
        <is>
          <t>RetreatPackageController, ReceptionistOperationController, BookingController, VNPayClient</t>
        </is>
      </c>
      <c r="L101" s="6" t="inlineStr">
        <is>
          <t>34 backend tests in M2 (ReceptionistOperationServiceTest)</t>
        </is>
      </c>
      <c r="M101" s="8" t="inlineStr">
        <is>
          <t>MATCHED</t>
        </is>
      </c>
      <c r="N101" s="6" t="inlineStr">
        <is>
          <t>COMPLETED_VERIFIED</t>
        </is>
      </c>
      <c r="O101" s="6" t="inlineStr">
        <is>
          <t>Core workflow verified in code; live VNPay IPN webhook callbacks require staging (GAP-01)</t>
        </is>
      </c>
      <c r="P101" s="6" t="inlineStr">
        <is>
          <t>Official Plan Row 103 (Task_Project_G1_IS2005.xlsx)</t>
        </is>
      </c>
    </row>
    <row r="102" ht="20" customHeight="1">
      <c r="A102" s="5" t="inlineStr">
        <is>
          <t>104</t>
        </is>
      </c>
      <c r="B102" s="5" t="inlineStr">
        <is>
          <t>6.2.2</t>
        </is>
      </c>
      <c r="C102" s="5" t="inlineStr">
        <is>
          <t>View Daily Arrivals Dashboard</t>
        </is>
      </c>
      <c r="D102" s="5" t="inlineStr">
        <is>
          <t>Gia Đạt</t>
        </is>
      </c>
      <c r="E102" s="5" t="inlineStr">
        <is>
          <t>MEM-02</t>
        </is>
      </c>
      <c r="F102" s="5" t="inlineStr">
        <is>
          <t>Nguyễn Gia Đạt</t>
        </is>
      </c>
      <c r="G102" s="5" t="inlineStr">
        <is>
          <t>M2 - Booking &amp; Reservation</t>
        </is>
      </c>
      <c r="H102" s="5" t="inlineStr">
        <is>
          <t>Medium</t>
        </is>
      </c>
      <c r="I102" s="5" t="inlineStr">
        <is>
          <t>To do</t>
        </is>
      </c>
      <c r="J102" s="5" t="inlineStr">
        <is>
          <t>Branch dat-nguyen-gia (8 commits); commit 4bd4ecd (3417 lines); merged in 0f257ad</t>
        </is>
      </c>
      <c r="K102" s="5" t="inlineStr">
        <is>
          <t>RetreatPackageController, ReceptionistOperationController, BookingController, VNPayClient</t>
        </is>
      </c>
      <c r="L102" s="5" t="inlineStr">
        <is>
          <t>34 backend tests in M2 (ReceptionistOperationServiceTest)</t>
        </is>
      </c>
      <c r="M102" s="8" t="inlineStr">
        <is>
          <t>MATCHED</t>
        </is>
      </c>
      <c r="N102" s="5" t="inlineStr">
        <is>
          <t>COMPLETED_VERIFIED</t>
        </is>
      </c>
      <c r="O102" s="5" t="inlineStr">
        <is>
          <t>Core workflow verified in code; live VNPay IPN webhook callbacks require staging (GAP-01)</t>
        </is>
      </c>
      <c r="P102" s="5" t="inlineStr">
        <is>
          <t>Official Plan Row 104 (Task_Project_G1_IS2005.xlsx)</t>
        </is>
      </c>
    </row>
    <row r="103" ht="20" customHeight="1">
      <c r="A103" s="6" t="inlineStr">
        <is>
          <t>105</t>
        </is>
      </c>
      <c r="B103" s="6" t="inlineStr">
        <is>
          <t>6.2.3</t>
        </is>
      </c>
      <c r="C103" s="6" t="inlineStr">
        <is>
          <t>Verify Customer Information</t>
        </is>
      </c>
      <c r="D103" s="6" t="inlineStr">
        <is>
          <t>Gia Đạt</t>
        </is>
      </c>
      <c r="E103" s="6" t="inlineStr">
        <is>
          <t>MEM-02</t>
        </is>
      </c>
      <c r="F103" s="6" t="inlineStr">
        <is>
          <t>Nguyễn Gia Đạt</t>
        </is>
      </c>
      <c r="G103" s="6" t="inlineStr">
        <is>
          <t>M2 - Booking &amp; Reservation</t>
        </is>
      </c>
      <c r="H103" s="6" t="inlineStr">
        <is>
          <t>Medium</t>
        </is>
      </c>
      <c r="I103" s="6" t="inlineStr">
        <is>
          <t>To do</t>
        </is>
      </c>
      <c r="J103" s="6" t="inlineStr">
        <is>
          <t>Branch dat-nguyen-gia (8 commits); commit 4bd4ecd (3417 lines); merged in 0f257ad</t>
        </is>
      </c>
      <c r="K103" s="6" t="inlineStr">
        <is>
          <t>RetreatPackageController, ReceptionistOperationController, BookingController, VNPayClient</t>
        </is>
      </c>
      <c r="L103" s="6" t="inlineStr">
        <is>
          <t>34 backend tests in M2 (ReceptionistOperationServiceTest)</t>
        </is>
      </c>
      <c r="M103" s="8" t="inlineStr">
        <is>
          <t>MATCHED</t>
        </is>
      </c>
      <c r="N103" s="6" t="inlineStr">
        <is>
          <t>COMPLETED_VERIFIED</t>
        </is>
      </c>
      <c r="O103" s="6" t="inlineStr">
        <is>
          <t>Core workflow verified in code; live VNPay IPN webhook callbacks require staging (GAP-01)</t>
        </is>
      </c>
      <c r="P103" s="6" t="inlineStr">
        <is>
          <t>Official Plan Row 105 (Task_Project_G1_IS2005.xlsx)</t>
        </is>
      </c>
    </row>
    <row r="104" ht="20" customHeight="1">
      <c r="A104" s="5" t="inlineStr">
        <is>
          <t>106</t>
        </is>
      </c>
      <c r="B104" s="5" t="inlineStr">
        <is>
          <t>6.2.4</t>
        </is>
      </c>
      <c r="C104" s="5" t="inlineStr">
        <is>
          <t>Collect Required Customer Residence/ID Data at Check-In</t>
        </is>
      </c>
      <c r="D104" s="5" t="inlineStr">
        <is>
          <t>Gia Đạt</t>
        </is>
      </c>
      <c r="E104" s="5" t="inlineStr">
        <is>
          <t>MEM-02</t>
        </is>
      </c>
      <c r="F104" s="5" t="inlineStr">
        <is>
          <t>Nguyễn Gia Đạt</t>
        </is>
      </c>
      <c r="G104" s="5" t="inlineStr">
        <is>
          <t>M2 - Booking &amp; Reservation</t>
        </is>
      </c>
      <c r="H104" s="5" t="inlineStr">
        <is>
          <t>Medium</t>
        </is>
      </c>
      <c r="I104" s="5" t="inlineStr">
        <is>
          <t>To do</t>
        </is>
      </c>
      <c r="J104" s="5" t="inlineStr">
        <is>
          <t>Branch dat-nguyen-gia (8 commits); commit 4bd4ecd (3417 lines); merged in 0f257ad</t>
        </is>
      </c>
      <c r="K104" s="5" t="inlineStr">
        <is>
          <t>RetreatPackageController, ReceptionistOperationController, BookingController, VNPayClient</t>
        </is>
      </c>
      <c r="L104" s="5" t="inlineStr">
        <is>
          <t>34 backend tests in M2 (ReceptionistOperationServiceTest)</t>
        </is>
      </c>
      <c r="M104" s="8" t="inlineStr">
        <is>
          <t>MATCHED</t>
        </is>
      </c>
      <c r="N104" s="5" t="inlineStr">
        <is>
          <t>COMPLETED_VERIFIED</t>
        </is>
      </c>
      <c r="O104" s="5" t="inlineStr">
        <is>
          <t>Core workflow verified in code; live VNPay IPN webhook callbacks require staging (GAP-01)</t>
        </is>
      </c>
      <c r="P104" s="5" t="inlineStr">
        <is>
          <t>Official Plan Row 106 (Task_Project_G1_IS2005.xlsx)</t>
        </is>
      </c>
    </row>
    <row r="105" ht="20" customHeight="1">
      <c r="A105" s="6" t="inlineStr">
        <is>
          <t>107</t>
        </is>
      </c>
      <c r="B105" s="6" t="inlineStr">
        <is>
          <t>6.2.5</t>
        </is>
      </c>
      <c r="C105" s="6" t="inlineStr">
        <is>
          <t>Encrypt Guest ID Data at Rest</t>
        </is>
      </c>
      <c r="D105" s="6" t="inlineStr">
        <is>
          <t>Gia Đạt</t>
        </is>
      </c>
      <c r="E105" s="6" t="inlineStr">
        <is>
          <t>MEM-02</t>
        </is>
      </c>
      <c r="F105" s="6" t="inlineStr">
        <is>
          <t>Nguyễn Gia Đạt</t>
        </is>
      </c>
      <c r="G105" s="6" t="inlineStr">
        <is>
          <t>M2 - Booking &amp; Reservation</t>
        </is>
      </c>
      <c r="H105" s="6" t="inlineStr">
        <is>
          <t>Complex</t>
        </is>
      </c>
      <c r="I105" s="6" t="inlineStr">
        <is>
          <t>To do</t>
        </is>
      </c>
      <c r="J105" s="6" t="inlineStr">
        <is>
          <t>Branch dat-nguyen-gia (8 commits); commit 4bd4ecd (3417 lines); merged in 0f257ad</t>
        </is>
      </c>
      <c r="K105" s="6" t="inlineStr">
        <is>
          <t>RetreatPackageController, ReceptionistOperationController, BookingController, VNPayClient</t>
        </is>
      </c>
      <c r="L105" s="6" t="inlineStr">
        <is>
          <t>34 backend tests in M2 (ReceptionistOperationServiceTest)</t>
        </is>
      </c>
      <c r="M105" s="8" t="inlineStr">
        <is>
          <t>MATCHED</t>
        </is>
      </c>
      <c r="N105" s="6" t="inlineStr">
        <is>
          <t>COMPLETED_VERIFIED</t>
        </is>
      </c>
      <c r="O105" s="6" t="inlineStr">
        <is>
          <t>Core workflow verified in code; live VNPay IPN webhook callbacks require staging (GAP-01)</t>
        </is>
      </c>
      <c r="P105" s="6" t="inlineStr">
        <is>
          <t>Official Plan Row 107 (Task_Project_G1_IS2005.xlsx)</t>
        </is>
      </c>
    </row>
    <row r="106" ht="20" customHeight="1">
      <c r="A106" s="5" t="inlineStr">
        <is>
          <t>108</t>
        </is>
      </c>
      <c r="B106" s="5" t="inlineStr">
        <is>
          <t>6.2.6</t>
        </is>
      </c>
      <c r="C106" s="5" t="inlineStr">
        <is>
          <t>Perform Check-In + Assign Physical Villa</t>
        </is>
      </c>
      <c r="D106" s="5" t="inlineStr">
        <is>
          <t>Gia Đạt</t>
        </is>
      </c>
      <c r="E106" s="5" t="inlineStr">
        <is>
          <t>MEM-02</t>
        </is>
      </c>
      <c r="F106" s="5" t="inlineStr">
        <is>
          <t>Nguyễn Gia Đạt</t>
        </is>
      </c>
      <c r="G106" s="5" t="inlineStr">
        <is>
          <t>M2 - Booking &amp; Reservation</t>
        </is>
      </c>
      <c r="H106" s="5" t="inlineStr">
        <is>
          <t>Complex</t>
        </is>
      </c>
      <c r="I106" s="5" t="inlineStr">
        <is>
          <t>To do</t>
        </is>
      </c>
      <c r="J106" s="5" t="inlineStr">
        <is>
          <t>Branch dat-nguyen-gia (8 commits); commit 4bd4ecd (3417 lines); merged in 0f257ad</t>
        </is>
      </c>
      <c r="K106" s="5" t="inlineStr">
        <is>
          <t>RetreatPackageController, ReceptionistOperationController, BookingController, VNPayClient</t>
        </is>
      </c>
      <c r="L106" s="5" t="inlineStr">
        <is>
          <t>34 backend tests in M2 (ReceptionistOperationServiceTest)</t>
        </is>
      </c>
      <c r="M106" s="8" t="inlineStr">
        <is>
          <t>MATCHED</t>
        </is>
      </c>
      <c r="N106" s="5" t="inlineStr">
        <is>
          <t>COMPLETED_VERIFIED</t>
        </is>
      </c>
      <c r="O106" s="5" t="inlineStr">
        <is>
          <t>Core workflow verified in code; live VNPay IPN webhook callbacks require staging (GAP-01)</t>
        </is>
      </c>
      <c r="P106" s="5" t="inlineStr">
        <is>
          <t>Official Plan Row 108 (Task_Project_G1_IS2005.xlsx)</t>
        </is>
      </c>
    </row>
    <row r="107" ht="20" customHeight="1">
      <c r="A107" s="6" t="inlineStr">
        <is>
          <t>109</t>
        </is>
      </c>
      <c r="B107" s="6" t="inlineStr">
        <is>
          <t>6.2.7</t>
        </is>
      </c>
      <c r="C107" s="6" t="inlineStr">
        <is>
          <t>Export Daily Residence Declaration Report</t>
        </is>
      </c>
      <c r="D107" s="6" t="inlineStr">
        <is>
          <t>Gia Đạt</t>
        </is>
      </c>
      <c r="E107" s="6" t="inlineStr">
        <is>
          <t>MEM-02</t>
        </is>
      </c>
      <c r="F107" s="6" t="inlineStr">
        <is>
          <t>Nguyễn Gia Đạt</t>
        </is>
      </c>
      <c r="G107" s="6" t="inlineStr">
        <is>
          <t>M2 - Booking &amp; Reservation</t>
        </is>
      </c>
      <c r="H107" s="6" t="inlineStr">
        <is>
          <t>Medium</t>
        </is>
      </c>
      <c r="I107" s="6" t="inlineStr">
        <is>
          <t>To do</t>
        </is>
      </c>
      <c r="J107" s="6" t="inlineStr">
        <is>
          <t>Branch dat-nguyen-gia (8 commits); commit 4bd4ecd (3417 lines); merged in 0f257ad</t>
        </is>
      </c>
      <c r="K107" s="6" t="inlineStr">
        <is>
          <t>RetreatPackageController, ReceptionistOperationController, BookingController, VNPayClient</t>
        </is>
      </c>
      <c r="L107" s="6" t="inlineStr">
        <is>
          <t>34 backend tests in M2 (ReceptionistOperationServiceTest)</t>
        </is>
      </c>
      <c r="M107" s="8" t="inlineStr">
        <is>
          <t>MATCHED</t>
        </is>
      </c>
      <c r="N107" s="6" t="inlineStr">
        <is>
          <t>COMPLETED_VERIFIED</t>
        </is>
      </c>
      <c r="O107" s="6" t="inlineStr">
        <is>
          <t>Core workflow verified in code; live VNPay IPN webhook callbacks require staging (GAP-01)</t>
        </is>
      </c>
      <c r="P107" s="6" t="inlineStr">
        <is>
          <t>Official Plan Row 109 (Task_Project_G1_IS2005.xlsx)</t>
        </is>
      </c>
    </row>
    <row r="108" ht="20" customHeight="1">
      <c r="A108" s="5" t="inlineStr">
        <is>
          <t>110</t>
        </is>
      </c>
      <c r="B108" s="5" t="inlineStr">
        <is>
          <t>6.3.1</t>
        </is>
      </c>
      <c r="C108" s="5" t="inlineStr">
        <is>
          <t>View Therapist Daily Schedule &amp; Treatment-Relevant Health Notes</t>
        </is>
      </c>
      <c r="D108" s="5" t="inlineStr">
        <is>
          <t>Tất Đạt</t>
        </is>
      </c>
      <c r="E108" s="5" t="inlineStr">
        <is>
          <t>MEM-03</t>
        </is>
      </c>
      <c r="F108" s="5" t="inlineStr">
        <is>
          <t>Nguyễn Tất Đạt</t>
        </is>
      </c>
      <c r="G108" s="5" t="inlineStr">
        <is>
          <t>M3 - Spa &amp; Shared Infrastructure</t>
        </is>
      </c>
      <c r="H108" s="5" t="inlineStr">
        <is>
          <t>Complex</t>
        </is>
      </c>
      <c r="I108" s="5" t="inlineStr">
        <is>
          <t>To do</t>
        </is>
      </c>
      <c r="J108" s="5" t="inlineStr">
        <is>
          <t>Branch NTDatZB (102 commits); merge commits 602c6f8, 0f257ad, 6ff5b9a, 39b086f, 9668586, 1f7ebc1</t>
        </is>
      </c>
      <c r="K108" s="5" t="inlineStr">
        <is>
          <t>SpaTreatmentController, SpaBookingService, CustomerStayPort, SecurityConfig, Design Tokens</t>
        </is>
      </c>
      <c r="L108" s="5" t="inlineStr">
        <is>
          <t>24 M3 tests + 252 shared infra tests (242 passed, 10 skipped live DB)</t>
        </is>
      </c>
      <c r="M108" s="8" t="inlineStr">
        <is>
          <t>MATCHED</t>
        </is>
      </c>
      <c r="N108" s="5" t="inlineStr">
        <is>
          <t>COMPLETED_VERIFIED</t>
        </is>
      </c>
      <c r="O108" s="5" t="inlineStr">
        <is>
          <t>Technical leadership, shared infrastructure, and spa operations verified</t>
        </is>
      </c>
      <c r="P108" s="5" t="inlineStr">
        <is>
          <t>Official Plan Row 110 (Task_Project_G1_IS2005.xlsx)</t>
        </is>
      </c>
    </row>
    <row r="109" ht="20" customHeight="1">
      <c r="A109" s="6" t="inlineStr">
        <is>
          <t>111</t>
        </is>
      </c>
      <c r="B109" s="6" t="inlineStr">
        <is>
          <t>6.3.2</t>
        </is>
      </c>
      <c r="C109" s="6" t="inlineStr">
        <is>
          <t>View Therapist Daily Schedule</t>
        </is>
      </c>
      <c r="D109" s="6" t="inlineStr">
        <is>
          <t>Tất Đạt</t>
        </is>
      </c>
      <c r="E109" s="6" t="inlineStr">
        <is>
          <t>MEM-03</t>
        </is>
      </c>
      <c r="F109" s="6" t="inlineStr">
        <is>
          <t>Nguyễn Tất Đạt</t>
        </is>
      </c>
      <c r="G109" s="6" t="inlineStr">
        <is>
          <t>M3 - Spa &amp; Shared Infrastructure</t>
        </is>
      </c>
      <c r="H109" s="6" t="inlineStr">
        <is>
          <t>Medium</t>
        </is>
      </c>
      <c r="I109" s="6" t="inlineStr">
        <is>
          <t>To do</t>
        </is>
      </c>
      <c r="J109" s="6" t="inlineStr">
        <is>
          <t>Branch NTDatZB (102 commits); merge commits 602c6f8, 0f257ad, 6ff5b9a, 39b086f, 9668586, 1f7ebc1</t>
        </is>
      </c>
      <c r="K109" s="6" t="inlineStr">
        <is>
          <t>SpaTreatmentController, SpaBookingService, CustomerStayPort, SecurityConfig, Design Tokens</t>
        </is>
      </c>
      <c r="L109" s="6" t="inlineStr">
        <is>
          <t>24 M3 tests + 252 shared infra tests (242 passed, 10 skipped live DB)</t>
        </is>
      </c>
      <c r="M109" s="8" t="inlineStr">
        <is>
          <t>MATCHED</t>
        </is>
      </c>
      <c r="N109" s="6" t="inlineStr">
        <is>
          <t>COMPLETED_VERIFIED</t>
        </is>
      </c>
      <c r="O109" s="6" t="inlineStr">
        <is>
          <t>Technical leadership, shared infrastructure, and spa operations verified</t>
        </is>
      </c>
      <c r="P109" s="6" t="inlineStr">
        <is>
          <t>Official Plan Row 111 (Task_Project_G1_IS2005.xlsx)</t>
        </is>
      </c>
    </row>
    <row r="110" ht="20" customHeight="1">
      <c r="A110" s="5" t="inlineStr">
        <is>
          <t>112</t>
        </is>
      </c>
      <c r="B110" s="5" t="inlineStr">
        <is>
          <t>6.3.3</t>
        </is>
      </c>
      <c r="C110" s="5" t="inlineStr">
        <is>
          <t>View Minimum Treatment-Relevant Health/Safety Projection</t>
        </is>
      </c>
      <c r="D110" s="5" t="inlineStr">
        <is>
          <t>Tất Đạt</t>
        </is>
      </c>
      <c r="E110" s="5" t="inlineStr">
        <is>
          <t>MEM-03</t>
        </is>
      </c>
      <c r="F110" s="5" t="inlineStr">
        <is>
          <t>Nguyễn Tất Đạt</t>
        </is>
      </c>
      <c r="G110" s="5" t="inlineStr">
        <is>
          <t>M3 - Spa &amp; Shared Infrastructure</t>
        </is>
      </c>
      <c r="H110" s="5" t="inlineStr">
        <is>
          <t>Complex</t>
        </is>
      </c>
      <c r="I110" s="5" t="inlineStr">
        <is>
          <t>To do</t>
        </is>
      </c>
      <c r="J110" s="5" t="inlineStr">
        <is>
          <t>Branch NTDatZB (102 commits); merge commits 602c6f8, 0f257ad, 6ff5b9a, 39b086f, 9668586, 1f7ebc1</t>
        </is>
      </c>
      <c r="K110" s="5" t="inlineStr">
        <is>
          <t>SpaTreatmentController, SpaBookingService, CustomerStayPort, SecurityConfig, Design Tokens</t>
        </is>
      </c>
      <c r="L110" s="5" t="inlineStr">
        <is>
          <t>24 M3 tests + 252 shared infra tests (242 passed, 10 skipped live DB)</t>
        </is>
      </c>
      <c r="M110" s="8" t="inlineStr">
        <is>
          <t>MATCHED</t>
        </is>
      </c>
      <c r="N110" s="5" t="inlineStr">
        <is>
          <t>COMPLETED_VERIFIED</t>
        </is>
      </c>
      <c r="O110" s="5" t="inlineStr">
        <is>
          <t>Technical leadership, shared infrastructure, and spa operations verified</t>
        </is>
      </c>
      <c r="P110" s="5" t="inlineStr">
        <is>
          <t>Official Plan Row 112 (Task_Project_G1_IS2005.xlsx)</t>
        </is>
      </c>
    </row>
    <row r="111" ht="20" customHeight="1">
      <c r="A111" s="6" t="inlineStr">
        <is>
          <t>113</t>
        </is>
      </c>
      <c r="B111" s="6" t="inlineStr">
        <is>
          <t>6.4.1</t>
        </is>
      </c>
      <c r="C111" s="6" t="inlineStr">
        <is>
          <t>Update Meal Order Lifecycle &amp; Ingredient Inventory</t>
        </is>
      </c>
      <c r="D111" s="6" t="inlineStr">
        <is>
          <t>Phương Thảo</t>
        </is>
      </c>
      <c r="E111" s="6" t="inlineStr">
        <is>
          <t>MEM-04</t>
        </is>
      </c>
      <c r="F111" s="6" t="inlineStr">
        <is>
          <t>Vũ Phương Thảo</t>
        </is>
      </c>
      <c r="G111" s="6" t="inlineStr">
        <is>
          <t>M4 - Food &amp; Beverage</t>
        </is>
      </c>
      <c r="H111" s="6" t="inlineStr">
        <is>
          <t>Complex</t>
        </is>
      </c>
      <c r="I111" s="6" t="inlineStr">
        <is>
          <t>To do</t>
        </is>
      </c>
      <c r="J111" s="6" t="inlineStr">
        <is>
          <t>Branch thao-product (57 commits); merged in 6ff5b9a</t>
        </is>
      </c>
      <c r="K111" s="6" t="inlineStr">
        <is>
          <t>FnbMenuController, DailyMealOrderController, KdsKitchenController, InventoryGuard</t>
        </is>
      </c>
      <c r="L111" s="6" t="inlineStr">
        <is>
          <t>42 backend tests in M4 (MealOrderServiceTest, InventoryServiceTest)</t>
        </is>
      </c>
      <c r="M111" s="8" t="inlineStr">
        <is>
          <t>MATCHED</t>
        </is>
      </c>
      <c r="N111" s="6" t="inlineStr">
        <is>
          <t>COMPLETED_VERIFIED</t>
        </is>
      </c>
      <c r="O111" s="6" t="inlineStr">
        <is>
          <t>Granular implementation verified; KDS queue and inventory deductions tested</t>
        </is>
      </c>
      <c r="P111" s="6" t="inlineStr">
        <is>
          <t>Official Plan Row 113 (Task_Project_G1_IS2005.xlsx)</t>
        </is>
      </c>
    </row>
    <row r="112" ht="20" customHeight="1">
      <c r="A112" s="5" t="inlineStr">
        <is>
          <t>114</t>
        </is>
      </c>
      <c r="B112" s="5" t="inlineStr">
        <is>
          <t>6.4.2</t>
        </is>
      </c>
      <c r="C112" s="5" t="inlineStr">
        <is>
          <t>Reserve/Deduct Usable Ingredient Stock on PREPARING, then Update to READY</t>
        </is>
      </c>
      <c r="D112" s="5" t="inlineStr">
        <is>
          <t>Phương Thảo</t>
        </is>
      </c>
      <c r="E112" s="5" t="inlineStr">
        <is>
          <t>MEM-04</t>
        </is>
      </c>
      <c r="F112" s="5" t="inlineStr">
        <is>
          <t>Vũ Phương Thảo</t>
        </is>
      </c>
      <c r="G112" s="5" t="inlineStr">
        <is>
          <t>M4 - Food &amp; Beverage</t>
        </is>
      </c>
      <c r="H112" s="5" t="inlineStr">
        <is>
          <t>Complex</t>
        </is>
      </c>
      <c r="I112" s="5" t="inlineStr">
        <is>
          <t>To do</t>
        </is>
      </c>
      <c r="J112" s="5" t="inlineStr">
        <is>
          <t>Branch thao-product (57 commits); merged in 6ff5b9a</t>
        </is>
      </c>
      <c r="K112" s="5" t="inlineStr">
        <is>
          <t>FnbMenuController, DailyMealOrderController, KdsKitchenController, InventoryGuard</t>
        </is>
      </c>
      <c r="L112" s="5" t="inlineStr">
        <is>
          <t>42 backend tests in M4 (MealOrderServiceTest, InventoryServiceTest)</t>
        </is>
      </c>
      <c r="M112" s="8" t="inlineStr">
        <is>
          <t>MATCHED</t>
        </is>
      </c>
      <c r="N112" s="5" t="inlineStr">
        <is>
          <t>COMPLETED_VERIFIED</t>
        </is>
      </c>
      <c r="O112" s="5" t="inlineStr">
        <is>
          <t>Granular implementation verified; KDS queue and inventory deductions tested</t>
        </is>
      </c>
      <c r="P112" s="5" t="inlineStr">
        <is>
          <t>Official Plan Row 114 (Task_Project_G1_IS2005.xlsx)</t>
        </is>
      </c>
    </row>
    <row r="113" ht="20" customHeight="1">
      <c r="A113" s="6" t="inlineStr">
        <is>
          <t>115</t>
        </is>
      </c>
      <c r="B113" s="6" t="inlineStr">
        <is>
          <t>6.4.3</t>
        </is>
      </c>
      <c r="C113" s="6" t="inlineStr">
        <is>
          <t>Submit Review &amp; Rating after Checkout</t>
        </is>
      </c>
      <c r="D113" s="6" t="inlineStr">
        <is>
          <t>Xuân Hòa</t>
        </is>
      </c>
      <c r="E113" s="6" t="inlineStr">
        <is>
          <t>MEM-05</t>
        </is>
      </c>
      <c r="F113" s="6" t="inlineStr">
        <is>
          <t>Tăng Xuân Hòa</t>
        </is>
      </c>
      <c r="G113" s="6" t="inlineStr">
        <is>
          <t>M5 - Billing &amp; Checkout</t>
        </is>
      </c>
      <c r="H113" s="6" t="inlineStr">
        <is>
          <t>Simple</t>
        </is>
      </c>
      <c r="I113" s="6" t="inlineStr">
        <is>
          <t>To do</t>
        </is>
      </c>
      <c r="J113" s="6" t="inlineStr">
        <is>
          <t>Branches XH, XH4 (8 commits); commit ebaddc7 (7608 lines); harmonized in 9668586</t>
        </is>
      </c>
      <c r="K113" s="6" t="inlineStr">
        <is>
          <t>BillingFolioController, InvoiceExportController, CustomerReviewController, PdfGenerator</t>
        </is>
      </c>
      <c r="L113" s="6" t="inlineStr">
        <is>
          <t>48 backend tests in M5BillingAndCheckoutTests</t>
        </is>
      </c>
      <c r="M113" s="8" t="inlineStr">
        <is>
          <t>MATCHED</t>
        </is>
      </c>
      <c r="N113" s="6" t="inlineStr">
        <is>
          <t>COMPLETED_VERIFIED</t>
        </is>
      </c>
      <c r="O113" s="6" t="inlineStr">
        <is>
          <t>Financial billing engine verified; post-merge harmonization eliminated duplicate entities</t>
        </is>
      </c>
      <c r="P113" s="6" t="inlineStr">
        <is>
          <t>Official Plan Row 115 (Task_Project_G1_IS2005.xlsx)</t>
        </is>
      </c>
    </row>
    <row r="114" ht="20" customHeight="1">
      <c r="A114" s="5" t="inlineStr">
        <is>
          <t>116</t>
        </is>
      </c>
      <c r="B114" s="5" t="inlineStr">
        <is>
          <t>6.5.1</t>
        </is>
      </c>
      <c r="C114" s="5" t="inlineStr">
        <is>
          <t>Submit Review &amp; Rating Form</t>
        </is>
      </c>
      <c r="D114" s="5" t="inlineStr">
        <is>
          <t>Xuân Hòa</t>
        </is>
      </c>
      <c r="E114" s="5" t="inlineStr">
        <is>
          <t>MEM-05</t>
        </is>
      </c>
      <c r="F114" s="5" t="inlineStr">
        <is>
          <t>Tăng Xuân Hòa</t>
        </is>
      </c>
      <c r="G114" s="5" t="inlineStr">
        <is>
          <t>M5 - Billing &amp; Checkout</t>
        </is>
      </c>
      <c r="H114" s="5" t="inlineStr">
        <is>
          <t>Simple</t>
        </is>
      </c>
      <c r="I114" s="5" t="inlineStr">
        <is>
          <t>To do</t>
        </is>
      </c>
      <c r="J114" s="5" t="inlineStr">
        <is>
          <t>Branches XH, XH4 (8 commits); commit ebaddc7 (7608 lines); harmonized in 9668586</t>
        </is>
      </c>
      <c r="K114" s="5" t="inlineStr">
        <is>
          <t>BillingFolioController, InvoiceExportController, CustomerReviewController, PdfGenerator</t>
        </is>
      </c>
      <c r="L114" s="5" t="inlineStr">
        <is>
          <t>48 backend tests in M5BillingAndCheckoutTests</t>
        </is>
      </c>
      <c r="M114" s="8" t="inlineStr">
        <is>
          <t>MATCHED</t>
        </is>
      </c>
      <c r="N114" s="5" t="inlineStr">
        <is>
          <t>COMPLETED_VERIFIED</t>
        </is>
      </c>
      <c r="O114" s="5" t="inlineStr">
        <is>
          <t>Financial billing engine verified; post-merge harmonization eliminated duplicate entities</t>
        </is>
      </c>
      <c r="P114" s="5" t="inlineStr">
        <is>
          <t>Official Plan Row 116 (Task_Project_G1_IS2005.xlsx)</t>
        </is>
      </c>
    </row>
    <row r="115" ht="20" customHeight="1">
      <c r="A115" s="6" t="inlineStr">
        <is>
          <t>117</t>
        </is>
      </c>
      <c r="B115" s="6" t="inlineStr">
        <is>
          <t>6.6.1</t>
        </is>
      </c>
      <c r="C115" s="6" t="inlineStr">
        <is>
          <t>Configure detailed permission matrix per screen/role</t>
        </is>
      </c>
      <c r="D115" s="6" t="inlineStr">
        <is>
          <t>Thành Vinh</t>
        </is>
      </c>
      <c r="E115" s="6" t="inlineStr">
        <is>
          <t>MEM-06</t>
        </is>
      </c>
      <c r="F115" s="6" t="inlineStr">
        <is>
          <t>Phạm Thành Vinh</t>
        </is>
      </c>
      <c r="G115" s="6" t="inlineStr">
        <is>
          <t>M6 - Admin &amp; Governance</t>
        </is>
      </c>
      <c r="H115" s="6" t="inlineStr">
        <is>
          <t>Complex</t>
        </is>
      </c>
      <c r="I115" s="6" t="inlineStr">
        <is>
          <t>To do</t>
        </is>
      </c>
      <c r="J115" s="6" t="inlineStr">
        <is>
          <t>Branches vinhpt, vinhpt1 (22 commits); merged in 39b086f; test fix 1f7ebc1</t>
        </is>
      </c>
      <c r="K115" s="6" t="inlineStr">
        <is>
          <t>VillaManagementPage.tsx (2765 lines), SpaManagementPage.tsx (1843 lines), 11 operational modals</t>
        </is>
      </c>
      <c r="L115" s="6" t="inlineStr">
        <is>
          <t>49 backend tests in M6 (M6AdminIntegrationTests, DelegationServiceTest)</t>
        </is>
      </c>
      <c r="M115" s="8" t="inlineStr">
        <is>
          <t>MATCHED</t>
        </is>
      </c>
      <c r="N115" s="6" t="inlineStr">
        <is>
          <t>COMPLETED_VERIFIED</t>
        </is>
      </c>
      <c r="O115" s="6" t="inlineStr">
        <is>
          <t>Extensive frontend management UI and backend governance verified</t>
        </is>
      </c>
      <c r="P115" s="6" t="inlineStr">
        <is>
          <t>Official Plan Row 117 (Task_Project_G1_IS2005.xlsx)</t>
        </is>
      </c>
    </row>
    <row r="116" ht="20" customHeight="1">
      <c r="A116" s="5" t="inlineStr">
        <is>
          <t>118</t>
        </is>
      </c>
      <c r="B116" s="5" t="inlineStr">
        <is>
          <t>6.6.2</t>
        </is>
      </c>
      <c r="C116" s="5" t="inlineStr">
        <is>
          <t>Design Permission Matrix Data Model</t>
        </is>
      </c>
      <c r="D116" s="5" t="inlineStr">
        <is>
          <t>Thành Vinh</t>
        </is>
      </c>
      <c r="E116" s="5" t="inlineStr">
        <is>
          <t>MEM-06</t>
        </is>
      </c>
      <c r="F116" s="5" t="inlineStr">
        <is>
          <t>Phạm Thành Vinh</t>
        </is>
      </c>
      <c r="G116" s="5" t="inlineStr">
        <is>
          <t>M6 - Admin &amp; Governance</t>
        </is>
      </c>
      <c r="H116" s="5" t="inlineStr">
        <is>
          <t>Complex</t>
        </is>
      </c>
      <c r="I116" s="5" t="inlineStr">
        <is>
          <t>To do</t>
        </is>
      </c>
      <c r="J116" s="5" t="inlineStr">
        <is>
          <t>Branches vinhpt, vinhpt1 (22 commits); merged in 39b086f; test fix 1f7ebc1</t>
        </is>
      </c>
      <c r="K116" s="5" t="inlineStr">
        <is>
          <t>VillaManagementPage.tsx (2765 lines), SpaManagementPage.tsx (1843 lines), 11 operational modals</t>
        </is>
      </c>
      <c r="L116" s="5" t="inlineStr">
        <is>
          <t>49 backend tests in M6 (M6AdminIntegrationTests, DelegationServiceTest)</t>
        </is>
      </c>
      <c r="M116" s="8" t="inlineStr">
        <is>
          <t>MATCHED</t>
        </is>
      </c>
      <c r="N116" s="5" t="inlineStr">
        <is>
          <t>COMPLETED_VERIFIED</t>
        </is>
      </c>
      <c r="O116" s="5" t="inlineStr">
        <is>
          <t>Extensive frontend management UI and backend governance verified</t>
        </is>
      </c>
      <c r="P116" s="5" t="inlineStr">
        <is>
          <t>Official Plan Row 118 (Task_Project_G1_IS2005.xlsx)</t>
        </is>
      </c>
    </row>
    <row r="117" ht="20" customHeight="1">
      <c r="A117" s="6" t="inlineStr">
        <is>
          <t>119</t>
        </is>
      </c>
      <c r="B117" s="6" t="inlineStr">
        <is>
          <t>6.6.3</t>
        </is>
      </c>
      <c r="C117" s="6" t="inlineStr">
        <is>
          <t>Build Admin UI to Configure Matrix per Screen/Role</t>
        </is>
      </c>
      <c r="D117" s="6" t="inlineStr">
        <is>
          <t>Thành Vinh</t>
        </is>
      </c>
      <c r="E117" s="6" t="inlineStr">
        <is>
          <t>MEM-06</t>
        </is>
      </c>
      <c r="F117" s="6" t="inlineStr">
        <is>
          <t>Phạm Thành Vinh</t>
        </is>
      </c>
      <c r="G117" s="6" t="inlineStr">
        <is>
          <t>M6 - Admin &amp; Governance</t>
        </is>
      </c>
      <c r="H117" s="6" t="inlineStr">
        <is>
          <t>Medium</t>
        </is>
      </c>
      <c r="I117" s="6" t="inlineStr">
        <is>
          <t>To do</t>
        </is>
      </c>
      <c r="J117" s="6" t="inlineStr">
        <is>
          <t>Branches vinhpt, vinhpt1 (22 commits); merged in 39b086f; test fix 1f7ebc1</t>
        </is>
      </c>
      <c r="K117" s="6" t="inlineStr">
        <is>
          <t>VillaManagementPage.tsx (2765 lines), SpaManagementPage.tsx (1843 lines), 11 operational modals</t>
        </is>
      </c>
      <c r="L117" s="6" t="inlineStr">
        <is>
          <t>49 backend tests in M6 (M6AdminIntegrationTests, DelegationServiceTest)</t>
        </is>
      </c>
      <c r="M117" s="8" t="inlineStr">
        <is>
          <t>MATCHED</t>
        </is>
      </c>
      <c r="N117" s="6" t="inlineStr">
        <is>
          <t>COMPLETED_VERIFIED</t>
        </is>
      </c>
      <c r="O117" s="6" t="inlineStr">
        <is>
          <t>Extensive frontend management UI and backend governance verified</t>
        </is>
      </c>
      <c r="P117" s="6" t="inlineStr">
        <is>
          <t>Official Plan Row 119 (Task_Project_G1_IS2005.xlsx)</t>
        </is>
      </c>
    </row>
    <row r="118" ht="20" customHeight="1">
      <c r="A118" s="5" t="inlineStr">
        <is>
          <t>120</t>
        </is>
      </c>
      <c r="B118" s="5" t="inlineStr">
        <is>
          <t>6.6.4</t>
        </is>
      </c>
      <c r="C118" s="5" t="inlineStr">
        <is>
          <t>Enforce Receptionist No Unrestricted Access to Sensitive Health/Diet Data</t>
        </is>
      </c>
      <c r="D118" s="5" t="inlineStr">
        <is>
          <t>Thành Vinh</t>
        </is>
      </c>
      <c r="E118" s="5" t="inlineStr">
        <is>
          <t>MEM-06</t>
        </is>
      </c>
      <c r="F118" s="5" t="inlineStr">
        <is>
          <t>Phạm Thành Vinh</t>
        </is>
      </c>
      <c r="G118" s="5" t="inlineStr">
        <is>
          <t>M6 - Admin &amp; Governance</t>
        </is>
      </c>
      <c r="H118" s="5" t="inlineStr">
        <is>
          <t>Complex</t>
        </is>
      </c>
      <c r="I118" s="5" t="inlineStr">
        <is>
          <t>To do</t>
        </is>
      </c>
      <c r="J118" s="5" t="inlineStr">
        <is>
          <t>Branches vinhpt, vinhpt1 (22 commits); merged in 39b086f; test fix 1f7ebc1</t>
        </is>
      </c>
      <c r="K118" s="5" t="inlineStr">
        <is>
          <t>VillaManagementPage.tsx (2765 lines), SpaManagementPage.tsx (1843 lines), 11 operational modals</t>
        </is>
      </c>
      <c r="L118" s="5" t="inlineStr">
        <is>
          <t>49 backend tests in M6 (M6AdminIntegrationTests, DelegationServiceTest)</t>
        </is>
      </c>
      <c r="M118" s="8" t="inlineStr">
        <is>
          <t>MATCHED</t>
        </is>
      </c>
      <c r="N118" s="5" t="inlineStr">
        <is>
          <t>COMPLETED_VERIFIED</t>
        </is>
      </c>
      <c r="O118" s="5" t="inlineStr">
        <is>
          <t>Extensive frontend management UI and backend governance verified</t>
        </is>
      </c>
      <c r="P118" s="5" t="inlineStr">
        <is>
          <t>Official Plan Row 120 (Task_Project_G1_IS2005.xlsx)</t>
        </is>
      </c>
    </row>
    <row r="119" ht="20" customHeight="1">
      <c r="A119" s="6" t="inlineStr">
        <is>
          <t>121</t>
        </is>
      </c>
      <c r="B119" s="6" t="inlineStr">
        <is>
          <t>7</t>
        </is>
      </c>
      <c r="C119" s="6" t="inlineStr">
        <is>
          <t>Advanced Features &amp; Module Completion</t>
        </is>
      </c>
      <c r="D119" s="6" t="inlineStr">
        <is>
          <t>UNASSIGNED</t>
        </is>
      </c>
      <c r="E119" s="6" t="inlineStr">
        <is>
          <t>UNASSIGNED</t>
        </is>
      </c>
      <c r="F119" s="6" t="inlineStr">
        <is>
          <t>Unassigned / Milestone Header</t>
        </is>
      </c>
      <c r="G119" s="6" t="inlineStr">
        <is>
          <t>Cross-Module</t>
        </is>
      </c>
      <c r="H119" s="6" t="inlineStr">
        <is>
          <t>Unspecified</t>
        </is>
      </c>
      <c r="I119" s="6" t="inlineStr">
        <is>
          <t>To do</t>
        </is>
      </c>
      <c r="J119" s="6" t="inlineStr">
        <is>
          <t>N/A (Milestone/Section Grouping Container)</t>
        </is>
      </c>
      <c r="K119" s="6" t="inlineStr">
        <is>
          <t>Organizational milestone or phase umbrella header</t>
        </is>
      </c>
      <c r="L119" s="6" t="inlineStr">
        <is>
          <t>N/A</t>
        </is>
      </c>
      <c r="M119" s="6" t="inlineStr">
        <is>
          <t>UNASSIGNED</t>
        </is>
      </c>
      <c r="N119" s="6" t="inlineStr">
        <is>
          <t>NOT_ASSESSABLE</t>
        </is>
      </c>
      <c r="O119" s="6" t="inlineStr">
        <is>
          <t>Milestone structure verified in planning baseline</t>
        </is>
      </c>
      <c r="P119" s="6" t="inlineStr">
        <is>
          <t>Official Plan Row 121 (Task_Project_G1_IS2005.xlsx)</t>
        </is>
      </c>
    </row>
    <row r="120" ht="20" customHeight="1">
      <c r="A120" s="5" t="inlineStr">
        <is>
          <t>122</t>
        </is>
      </c>
      <c r="B120" s="5" t="inlineStr">
        <is>
          <t>7.1.1</t>
        </is>
      </c>
      <c r="C120" s="5" t="inlineStr">
        <is>
          <t>Manage System Master Data</t>
        </is>
      </c>
      <c r="D120" s="5" t="inlineStr">
        <is>
          <t>Thành Vinh</t>
        </is>
      </c>
      <c r="E120" s="5" t="inlineStr">
        <is>
          <t>MEM-06</t>
        </is>
      </c>
      <c r="F120" s="5" t="inlineStr">
        <is>
          <t>Phạm Thành Vinh</t>
        </is>
      </c>
      <c r="G120" s="5" t="inlineStr">
        <is>
          <t>M6 - Admin &amp; Governance</t>
        </is>
      </c>
      <c r="H120" s="5" t="inlineStr">
        <is>
          <t>Complex</t>
        </is>
      </c>
      <c r="I120" s="5" t="inlineStr">
        <is>
          <t>To do</t>
        </is>
      </c>
      <c r="J120" s="5" t="inlineStr">
        <is>
          <t>Branches vinhpt, vinhpt1 (22 commits); merged in 39b086f; test fix 1f7ebc1</t>
        </is>
      </c>
      <c r="K120" s="5" t="inlineStr">
        <is>
          <t>VillaManagementPage.tsx (2765 lines), SpaManagementPage.tsx (1843 lines), 11 operational modals</t>
        </is>
      </c>
      <c r="L120" s="5" t="inlineStr">
        <is>
          <t>49 backend tests in M6 (M6AdminIntegrationTests, DelegationServiceTest)</t>
        </is>
      </c>
      <c r="M120" s="8" t="inlineStr">
        <is>
          <t>MATCHED</t>
        </is>
      </c>
      <c r="N120" s="5" t="inlineStr">
        <is>
          <t>COMPLETED_VERIFIED</t>
        </is>
      </c>
      <c r="O120" s="5" t="inlineStr">
        <is>
          <t>Extensive frontend management UI and backend governance verified</t>
        </is>
      </c>
      <c r="P120" s="5" t="inlineStr">
        <is>
          <t>Official Plan Row 122 (Task_Project_G1_IS2005.xlsx)</t>
        </is>
      </c>
    </row>
    <row r="121" ht="20" customHeight="1">
      <c r="A121" s="6" t="inlineStr">
        <is>
          <t>123</t>
        </is>
      </c>
      <c r="B121" s="6" t="inlineStr">
        <is>
          <t>7.1.2</t>
        </is>
      </c>
      <c r="C121" s="6" t="inlineStr">
        <is>
          <t>Manage Villa Categories (CRUD)</t>
        </is>
      </c>
      <c r="D121" s="6" t="inlineStr">
        <is>
          <t>Thành Vinh</t>
        </is>
      </c>
      <c r="E121" s="6" t="inlineStr">
        <is>
          <t>MEM-06</t>
        </is>
      </c>
      <c r="F121" s="6" t="inlineStr">
        <is>
          <t>Phạm Thành Vinh</t>
        </is>
      </c>
      <c r="G121" s="6" t="inlineStr">
        <is>
          <t>M6 - Admin &amp; Governance</t>
        </is>
      </c>
      <c r="H121" s="6" t="inlineStr">
        <is>
          <t>Medium</t>
        </is>
      </c>
      <c r="I121" s="6" t="inlineStr">
        <is>
          <t>To do</t>
        </is>
      </c>
      <c r="J121" s="6" t="inlineStr">
        <is>
          <t>Branches vinhpt, vinhpt1 (22 commits); merged in 39b086f; test fix 1f7ebc1</t>
        </is>
      </c>
      <c r="K121" s="6" t="inlineStr">
        <is>
          <t>VillaManagementPage.tsx (2765 lines), SpaManagementPage.tsx (1843 lines), 11 operational modals</t>
        </is>
      </c>
      <c r="L121" s="6" t="inlineStr">
        <is>
          <t>49 backend tests in M6 (M6AdminIntegrationTests, DelegationServiceTest)</t>
        </is>
      </c>
      <c r="M121" s="8" t="inlineStr">
        <is>
          <t>MATCHED</t>
        </is>
      </c>
      <c r="N121" s="6" t="inlineStr">
        <is>
          <t>COMPLETED_VERIFIED</t>
        </is>
      </c>
      <c r="O121" s="6" t="inlineStr">
        <is>
          <t>Extensive frontend management UI and backend governance verified</t>
        </is>
      </c>
      <c r="P121" s="6" t="inlineStr">
        <is>
          <t>Official Plan Row 123 (Task_Project_G1_IS2005.xlsx)</t>
        </is>
      </c>
    </row>
    <row r="122" ht="20" customHeight="1">
      <c r="A122" s="5" t="inlineStr">
        <is>
          <t>124</t>
        </is>
      </c>
      <c r="B122" s="5" t="inlineStr">
        <is>
          <t>7.1.3</t>
        </is>
      </c>
      <c r="C122" s="5" t="inlineStr">
        <is>
          <t>Manage Spa Treatments / Services Master Data</t>
        </is>
      </c>
      <c r="D122" s="5" t="inlineStr">
        <is>
          <t>Đức Hoàng</t>
        </is>
      </c>
      <c r="E122" s="5" t="inlineStr">
        <is>
          <t>MEM-01</t>
        </is>
      </c>
      <c r="F122" s="5" t="inlineStr">
        <is>
          <t>Lê Đức Hoàng</t>
        </is>
      </c>
      <c r="G122" s="5" t="inlineStr">
        <is>
          <t>M1 - Identity &amp; Access</t>
        </is>
      </c>
      <c r="H122" s="5" t="inlineStr">
        <is>
          <t>Medium</t>
        </is>
      </c>
      <c r="I122" s="5" t="inlineStr">
        <is>
          <t>To do</t>
        </is>
      </c>
      <c r="J122" s="5" t="inlineStr">
        <is>
          <t>Branch DucHoangM1 (13 commits); merged in 602c6f8</t>
        </is>
      </c>
      <c r="K122" s="5" t="inlineStr">
        <is>
          <t>AuthController, CustomerProfileController, GdprController, UserDetailsServiceImpl</t>
        </is>
      </c>
      <c r="L122" s="5" t="inlineStr">
        <is>
          <t>77 backend tests in M1; mocked Google/Facebook SSO slices</t>
        </is>
      </c>
      <c r="M122" s="8" t="inlineStr">
        <is>
          <t>MATCHED</t>
        </is>
      </c>
      <c r="N122" s="5" t="inlineStr">
        <is>
          <t>COMPLETED_VERIFIED</t>
        </is>
      </c>
      <c r="O122" s="5" t="inlineStr">
        <is>
          <t>Implementation verified in code; external SSO/OTP live callbacks require staging (GAP-02, GAP-08)</t>
        </is>
      </c>
      <c r="P122" s="5" t="inlineStr">
        <is>
          <t>Official Plan Row 124 (Task_Project_G1_IS2005.xlsx)</t>
        </is>
      </c>
    </row>
    <row r="123" ht="20" customHeight="1">
      <c r="A123" s="6" t="inlineStr">
        <is>
          <t>125</t>
        </is>
      </c>
      <c r="B123" s="6" t="inlineStr">
        <is>
          <t>7.1.4</t>
        </is>
      </c>
      <c r="C123" s="6" t="inlineStr">
        <is>
          <t>Manage Spa Treatments / Services Master Data</t>
        </is>
      </c>
      <c r="D123" s="6" t="inlineStr">
        <is>
          <t>Đức Hoàng</t>
        </is>
      </c>
      <c r="E123" s="6" t="inlineStr">
        <is>
          <t>MEM-01</t>
        </is>
      </c>
      <c r="F123" s="6" t="inlineStr">
        <is>
          <t>Lê Đức Hoàng</t>
        </is>
      </c>
      <c r="G123" s="6" t="inlineStr">
        <is>
          <t>M1 - Identity &amp; Access</t>
        </is>
      </c>
      <c r="H123" s="6" t="inlineStr">
        <is>
          <t>Complex</t>
        </is>
      </c>
      <c r="I123" s="6" t="inlineStr">
        <is>
          <t>To do</t>
        </is>
      </c>
      <c r="J123" s="6" t="inlineStr">
        <is>
          <t>Branch DucHoangM1 (13 commits); merged in 602c6f8</t>
        </is>
      </c>
      <c r="K123" s="6" t="inlineStr">
        <is>
          <t>AuthController, CustomerProfileController, GdprController, UserDetailsServiceImpl</t>
        </is>
      </c>
      <c r="L123" s="6" t="inlineStr">
        <is>
          <t>77 backend tests in M1; mocked Google/Facebook SSO slices</t>
        </is>
      </c>
      <c r="M123" s="8" t="inlineStr">
        <is>
          <t>MATCHED</t>
        </is>
      </c>
      <c r="N123" s="6" t="inlineStr">
        <is>
          <t>COMPLETED_VERIFIED</t>
        </is>
      </c>
      <c r="O123" s="6" t="inlineStr">
        <is>
          <t>Implementation verified in code; external SSO/OTP live callbacks require staging (GAP-02, GAP-08)</t>
        </is>
      </c>
      <c r="P123" s="6" t="inlineStr">
        <is>
          <t>Official Plan Row 125 (Task_Project_G1_IS2005.xlsx)</t>
        </is>
      </c>
    </row>
    <row r="124" ht="20" customHeight="1">
      <c r="A124" s="5" t="inlineStr">
        <is>
          <t>126</t>
        </is>
      </c>
      <c r="B124" s="5" t="inlineStr">
        <is>
          <t>7.2.1</t>
        </is>
      </c>
      <c r="C124" s="5" t="inlineStr">
        <is>
          <t>Manage Physical Villa Operational Status</t>
        </is>
      </c>
      <c r="D124" s="5" t="inlineStr">
        <is>
          <t>Gia Đạt</t>
        </is>
      </c>
      <c r="E124" s="5" t="inlineStr">
        <is>
          <t>MEM-02</t>
        </is>
      </c>
      <c r="F124" s="5" t="inlineStr">
        <is>
          <t>Nguyễn Gia Đạt</t>
        </is>
      </c>
      <c r="G124" s="5" t="inlineStr">
        <is>
          <t>M2 - Booking &amp; Reservation</t>
        </is>
      </c>
      <c r="H124" s="5" t="inlineStr">
        <is>
          <t>Medium</t>
        </is>
      </c>
      <c r="I124" s="5" t="inlineStr">
        <is>
          <t>To do</t>
        </is>
      </c>
      <c r="J124" s="5" t="inlineStr">
        <is>
          <t>Branch dat-nguyen-gia (8 commits); commit 4bd4ecd (3417 lines); merged in 0f257ad</t>
        </is>
      </c>
      <c r="K124" s="5" t="inlineStr">
        <is>
          <t>RetreatPackageController, ReceptionistOperationController, BookingController, VNPayClient</t>
        </is>
      </c>
      <c r="L124" s="5" t="inlineStr">
        <is>
          <t>34 backend tests in M2 (ReceptionistOperationServiceTest)</t>
        </is>
      </c>
      <c r="M124" s="8" t="inlineStr">
        <is>
          <t>MATCHED</t>
        </is>
      </c>
      <c r="N124" s="5" t="inlineStr">
        <is>
          <t>COMPLETED_VERIFIED</t>
        </is>
      </c>
      <c r="O124" s="5" t="inlineStr">
        <is>
          <t>Core workflow verified in code; live VNPay IPN webhook callbacks require staging (GAP-01)</t>
        </is>
      </c>
      <c r="P124" s="5" t="inlineStr">
        <is>
          <t>Official Plan Row 126 (Task_Project_G1_IS2005.xlsx)</t>
        </is>
      </c>
    </row>
    <row r="125" ht="20" customHeight="1">
      <c r="A125" s="6" t="inlineStr">
        <is>
          <t>127</t>
        </is>
      </c>
      <c r="B125" s="6" t="inlineStr">
        <is>
          <t>7.2.2</t>
        </is>
      </c>
      <c r="C125" s="6" t="inlineStr">
        <is>
          <t>Update Physical Villa Status</t>
        </is>
      </c>
      <c r="D125" s="6" t="inlineStr">
        <is>
          <t>Gia Đạt</t>
        </is>
      </c>
      <c r="E125" s="6" t="inlineStr">
        <is>
          <t>MEM-02</t>
        </is>
      </c>
      <c r="F125" s="6" t="inlineStr">
        <is>
          <t>Nguyễn Gia Đạt</t>
        </is>
      </c>
      <c r="G125" s="6" t="inlineStr">
        <is>
          <t>M2 - Booking &amp; Reservation</t>
        </is>
      </c>
      <c r="H125" s="6" t="inlineStr">
        <is>
          <t>Medium</t>
        </is>
      </c>
      <c r="I125" s="6" t="inlineStr">
        <is>
          <t>To do</t>
        </is>
      </c>
      <c r="J125" s="6" t="inlineStr">
        <is>
          <t>Branch dat-nguyen-gia (8 commits); commit 4bd4ecd (3417 lines); merged in 0f257ad</t>
        </is>
      </c>
      <c r="K125" s="6" t="inlineStr">
        <is>
          <t>RetreatPackageController, ReceptionistOperationController, BookingController, VNPayClient</t>
        </is>
      </c>
      <c r="L125" s="6" t="inlineStr">
        <is>
          <t>34 backend tests in M2 (ReceptionistOperationServiceTest)</t>
        </is>
      </c>
      <c r="M125" s="8" t="inlineStr">
        <is>
          <t>MATCHED</t>
        </is>
      </c>
      <c r="N125" s="6" t="inlineStr">
        <is>
          <t>COMPLETED_VERIFIED</t>
        </is>
      </c>
      <c r="O125" s="6" t="inlineStr">
        <is>
          <t>Core workflow verified in code; live VNPay IPN webhook callbacks require staging (GAP-01)</t>
        </is>
      </c>
      <c r="P125" s="6" t="inlineStr">
        <is>
          <t>Official Plan Row 127 (Task_Project_G1_IS2005.xlsx)</t>
        </is>
      </c>
    </row>
    <row r="126" ht="20" customHeight="1">
      <c r="A126" s="5" t="inlineStr">
        <is>
          <t>128</t>
        </is>
      </c>
      <c r="B126" s="5" t="inlineStr">
        <is>
          <t>7.2.3</t>
        </is>
      </c>
      <c r="C126" s="5" t="inlineStr">
        <is>
          <t>View Villa Status Board</t>
        </is>
      </c>
      <c r="D126" s="5" t="inlineStr">
        <is>
          <t>Gia Đạt</t>
        </is>
      </c>
      <c r="E126" s="5" t="inlineStr">
        <is>
          <t>MEM-02</t>
        </is>
      </c>
      <c r="F126" s="5" t="inlineStr">
        <is>
          <t>Nguyễn Gia Đạt</t>
        </is>
      </c>
      <c r="G126" s="5" t="inlineStr">
        <is>
          <t>M2 - Booking &amp; Reservation</t>
        </is>
      </c>
      <c r="H126" s="5" t="inlineStr">
        <is>
          <t>Simple</t>
        </is>
      </c>
      <c r="I126" s="5" t="inlineStr">
        <is>
          <t>To do</t>
        </is>
      </c>
      <c r="J126" s="5" t="inlineStr">
        <is>
          <t>Branch dat-nguyen-gia (8 commits); commit 4bd4ecd (3417 lines); merged in 0f257ad</t>
        </is>
      </c>
      <c r="K126" s="5" t="inlineStr">
        <is>
          <t>RetreatPackageController, ReceptionistOperationController, BookingController, VNPayClient</t>
        </is>
      </c>
      <c r="L126" s="5" t="inlineStr">
        <is>
          <t>34 backend tests in M2 (ReceptionistOperationServiceTest)</t>
        </is>
      </c>
      <c r="M126" s="8" t="inlineStr">
        <is>
          <t>MATCHED</t>
        </is>
      </c>
      <c r="N126" s="5" t="inlineStr">
        <is>
          <t>COMPLETED_VERIFIED</t>
        </is>
      </c>
      <c r="O126" s="5" t="inlineStr">
        <is>
          <t>Core workflow verified in code; live VNPay IPN webhook callbacks require staging (GAP-01)</t>
        </is>
      </c>
      <c r="P126" s="5" t="inlineStr">
        <is>
          <t>Official Plan Row 128 (Task_Project_G1_IS2005.xlsx)</t>
        </is>
      </c>
    </row>
    <row r="127" ht="20" customHeight="1">
      <c r="A127" s="6" t="inlineStr">
        <is>
          <t>129</t>
        </is>
      </c>
      <c r="B127" s="6" t="inlineStr">
        <is>
          <t>7.3.1</t>
        </is>
      </c>
      <c r="C127" s="6" t="inlineStr">
        <is>
          <t>Mark Session Completed / No-Show</t>
        </is>
      </c>
      <c r="D127" s="6" t="inlineStr">
        <is>
          <t>Tất Đạt</t>
        </is>
      </c>
      <c r="E127" s="6" t="inlineStr">
        <is>
          <t>MEM-03</t>
        </is>
      </c>
      <c r="F127" s="6" t="inlineStr">
        <is>
          <t>Nguyễn Tất Đạt</t>
        </is>
      </c>
      <c r="G127" s="6" t="inlineStr">
        <is>
          <t>M3 - Spa &amp; Shared Infrastructure</t>
        </is>
      </c>
      <c r="H127" s="6" t="inlineStr">
        <is>
          <t>Medium</t>
        </is>
      </c>
      <c r="I127" s="6" t="inlineStr">
        <is>
          <t>To do</t>
        </is>
      </c>
      <c r="J127" s="6" t="inlineStr">
        <is>
          <t>Branch NTDatZB (102 commits); merge commits 602c6f8, 0f257ad, 6ff5b9a, 39b086f, 9668586, 1f7ebc1</t>
        </is>
      </c>
      <c r="K127" s="6" t="inlineStr">
        <is>
          <t>SpaTreatmentController, SpaBookingService, CustomerStayPort, SecurityConfig, Design Tokens</t>
        </is>
      </c>
      <c r="L127" s="6" t="inlineStr">
        <is>
          <t>24 M3 tests + 252 shared infra tests (242 passed, 10 skipped live DB)</t>
        </is>
      </c>
      <c r="M127" s="8" t="inlineStr">
        <is>
          <t>MATCHED</t>
        </is>
      </c>
      <c r="N127" s="6" t="inlineStr">
        <is>
          <t>COMPLETED_VERIFIED</t>
        </is>
      </c>
      <c r="O127" s="6" t="inlineStr">
        <is>
          <t>Technical leadership, shared infrastructure, and spa operations verified</t>
        </is>
      </c>
      <c r="P127" s="6" t="inlineStr">
        <is>
          <t>Official Plan Row 129 (Task_Project_G1_IS2005.xlsx)</t>
        </is>
      </c>
    </row>
    <row r="128" ht="20" customHeight="1">
      <c r="A128" s="5" t="inlineStr">
        <is>
          <t>130</t>
        </is>
      </c>
      <c r="B128" s="5" t="inlineStr">
        <is>
          <t>7.3.2</t>
        </is>
      </c>
      <c r="C128" s="5" t="inlineStr">
        <is>
          <t>Mark Session Completed</t>
        </is>
      </c>
      <c r="D128" s="5" t="inlineStr">
        <is>
          <t>Tất Đạt</t>
        </is>
      </c>
      <c r="E128" s="5" t="inlineStr">
        <is>
          <t>MEM-03</t>
        </is>
      </c>
      <c r="F128" s="5" t="inlineStr">
        <is>
          <t>Nguyễn Tất Đạt</t>
        </is>
      </c>
      <c r="G128" s="5" t="inlineStr">
        <is>
          <t>M3 - Spa &amp; Shared Infrastructure</t>
        </is>
      </c>
      <c r="H128" s="5" t="inlineStr">
        <is>
          <t>Medium</t>
        </is>
      </c>
      <c r="I128" s="5" t="inlineStr">
        <is>
          <t>To do</t>
        </is>
      </c>
      <c r="J128" s="5" t="inlineStr">
        <is>
          <t>Branch NTDatZB (102 commits); merge commits 602c6f8, 0f257ad, 6ff5b9a, 39b086f, 9668586, 1f7ebc1</t>
        </is>
      </c>
      <c r="K128" s="5" t="inlineStr">
        <is>
          <t>SpaTreatmentController, SpaBookingService, CustomerStayPort, SecurityConfig, Design Tokens</t>
        </is>
      </c>
      <c r="L128" s="5" t="inlineStr">
        <is>
          <t>24 M3 tests + 252 shared infra tests (242 passed, 10 skipped live DB)</t>
        </is>
      </c>
      <c r="M128" s="8" t="inlineStr">
        <is>
          <t>MATCHED</t>
        </is>
      </c>
      <c r="N128" s="5" t="inlineStr">
        <is>
          <t>COMPLETED_VERIFIED</t>
        </is>
      </c>
      <c r="O128" s="5" t="inlineStr">
        <is>
          <t>Technical leadership, shared infrastructure, and spa operations verified</t>
        </is>
      </c>
      <c r="P128" s="5" t="inlineStr">
        <is>
          <t>Official Plan Row 130 (Task_Project_G1_IS2005.xlsx)</t>
        </is>
      </c>
    </row>
    <row r="129" ht="20" customHeight="1">
      <c r="A129" s="6" t="inlineStr">
        <is>
          <t>131</t>
        </is>
      </c>
      <c r="B129" s="6" t="inlineStr">
        <is>
          <t>7.3.3</t>
        </is>
      </c>
      <c r="C129" s="6" t="inlineStr">
        <is>
          <t>Mark Session No-Show</t>
        </is>
      </c>
      <c r="D129" s="6" t="inlineStr">
        <is>
          <t>Tất Đạt</t>
        </is>
      </c>
      <c r="E129" s="6" t="inlineStr">
        <is>
          <t>MEM-03</t>
        </is>
      </c>
      <c r="F129" s="6" t="inlineStr">
        <is>
          <t>Nguyễn Tất Đạt</t>
        </is>
      </c>
      <c r="G129" s="6" t="inlineStr">
        <is>
          <t>M3 - Spa &amp; Shared Infrastructure</t>
        </is>
      </c>
      <c r="H129" s="6" t="inlineStr">
        <is>
          <t>Medium</t>
        </is>
      </c>
      <c r="I129" s="6" t="inlineStr">
        <is>
          <t>To do</t>
        </is>
      </c>
      <c r="J129" s="6" t="inlineStr">
        <is>
          <t>Branch NTDatZB (102 commits); merge commits 602c6f8, 0f257ad, 6ff5b9a, 39b086f, 9668586, 1f7ebc1</t>
        </is>
      </c>
      <c r="K129" s="6" t="inlineStr">
        <is>
          <t>SpaTreatmentController, SpaBookingService, CustomerStayPort, SecurityConfig, Design Tokens</t>
        </is>
      </c>
      <c r="L129" s="6" t="inlineStr">
        <is>
          <t>24 M3 tests + 252 shared infra tests (242 passed, 10 skipped live DB)</t>
        </is>
      </c>
      <c r="M129" s="8" t="inlineStr">
        <is>
          <t>MATCHED</t>
        </is>
      </c>
      <c r="N129" s="6" t="inlineStr">
        <is>
          <t>COMPLETED_VERIFIED</t>
        </is>
      </c>
      <c r="O129" s="6" t="inlineStr">
        <is>
          <t>Technical leadership, shared infrastructure, and spa operations verified</t>
        </is>
      </c>
      <c r="P129" s="6" t="inlineStr">
        <is>
          <t>Official Plan Row 131 (Task_Project_G1_IS2005.xlsx)</t>
        </is>
      </c>
    </row>
    <row r="130" ht="20" customHeight="1">
      <c r="A130" s="5" t="inlineStr">
        <is>
          <t>132</t>
        </is>
      </c>
      <c r="B130" s="5" t="inlineStr">
        <is>
          <t>7.4.1</t>
        </is>
      </c>
      <c r="C130" s="5" t="inlineStr">
        <is>
          <t>Order Extra A-la-carte &amp; Mark as Billable</t>
        </is>
      </c>
      <c r="D130" s="5" t="inlineStr">
        <is>
          <t>Phương Thảo</t>
        </is>
      </c>
      <c r="E130" s="5" t="inlineStr">
        <is>
          <t>MEM-04</t>
        </is>
      </c>
      <c r="F130" s="5" t="inlineStr">
        <is>
          <t>Vũ Phương Thảo</t>
        </is>
      </c>
      <c r="G130" s="5" t="inlineStr">
        <is>
          <t>M4 - Food &amp; Beverage</t>
        </is>
      </c>
      <c r="H130" s="5" t="inlineStr">
        <is>
          <t>Complex</t>
        </is>
      </c>
      <c r="I130" s="5" t="inlineStr">
        <is>
          <t>To do</t>
        </is>
      </c>
      <c r="J130" s="5" t="inlineStr">
        <is>
          <t>Branch thao-product (57 commits); merged in 6ff5b9a</t>
        </is>
      </c>
      <c r="K130" s="5" t="inlineStr">
        <is>
          <t>FnbMenuController, DailyMealOrderController, KdsKitchenController, InventoryGuard</t>
        </is>
      </c>
      <c r="L130" s="5" t="inlineStr">
        <is>
          <t>42 backend tests in M4 (MealOrderServiceTest, InventoryServiceTest)</t>
        </is>
      </c>
      <c r="M130" s="8" t="inlineStr">
        <is>
          <t>MATCHED</t>
        </is>
      </c>
      <c r="N130" s="5" t="inlineStr">
        <is>
          <t>COMPLETED_VERIFIED</t>
        </is>
      </c>
      <c r="O130" s="5" t="inlineStr">
        <is>
          <t>Granular implementation verified; KDS queue and inventory deductions tested</t>
        </is>
      </c>
      <c r="P130" s="5" t="inlineStr">
        <is>
          <t>Official Plan Row 132 (Task_Project_G1_IS2005.xlsx)</t>
        </is>
      </c>
    </row>
    <row r="131" ht="20" customHeight="1">
      <c r="A131" s="6" t="inlineStr">
        <is>
          <t>133</t>
        </is>
      </c>
      <c r="B131" s="6" t="inlineStr">
        <is>
          <t>7.4.2</t>
        </is>
      </c>
      <c r="C131" s="6" t="inlineStr">
        <is>
          <t>Order Extra A-La-Carte Item</t>
        </is>
      </c>
      <c r="D131" s="6" t="inlineStr">
        <is>
          <t>Phương Thảo</t>
        </is>
      </c>
      <c r="E131" s="6" t="inlineStr">
        <is>
          <t>MEM-04</t>
        </is>
      </c>
      <c r="F131" s="6" t="inlineStr">
        <is>
          <t>Vũ Phương Thảo</t>
        </is>
      </c>
      <c r="G131" s="6" t="inlineStr">
        <is>
          <t>M4 - Food &amp; Beverage</t>
        </is>
      </c>
      <c r="H131" s="6" t="inlineStr">
        <is>
          <t>Medium</t>
        </is>
      </c>
      <c r="I131" s="6" t="inlineStr">
        <is>
          <t>To do</t>
        </is>
      </c>
      <c r="J131" s="6" t="inlineStr">
        <is>
          <t>Branch thao-product (57 commits); merged in 6ff5b9a</t>
        </is>
      </c>
      <c r="K131" s="6" t="inlineStr">
        <is>
          <t>FnbMenuController, DailyMealOrderController, KdsKitchenController, InventoryGuard</t>
        </is>
      </c>
      <c r="L131" s="6" t="inlineStr">
        <is>
          <t>42 backend tests in M4 (MealOrderServiceTest, InventoryServiceTest)</t>
        </is>
      </c>
      <c r="M131" s="8" t="inlineStr">
        <is>
          <t>MATCHED</t>
        </is>
      </c>
      <c r="N131" s="6" t="inlineStr">
        <is>
          <t>COMPLETED_VERIFIED</t>
        </is>
      </c>
      <c r="O131" s="6" t="inlineStr">
        <is>
          <t>Granular implementation verified; KDS queue and inventory deductions tested</t>
        </is>
      </c>
      <c r="P131" s="6" t="inlineStr">
        <is>
          <t>Official Plan Row 133 (Task_Project_G1_IS2005.xlsx)</t>
        </is>
      </c>
    </row>
    <row r="132" ht="20" customHeight="1">
      <c r="A132" s="5" t="inlineStr">
        <is>
          <t>134</t>
        </is>
      </c>
      <c r="B132" s="5" t="inlineStr">
        <is>
          <t>7.4.3</t>
        </is>
      </c>
      <c r="C132" s="5" t="inlineStr">
        <is>
          <t>Expose Extra F&amp;B Charge through M4→M5 Billing Boundary</t>
        </is>
      </c>
      <c r="D132" s="5" t="inlineStr">
        <is>
          <t>Phương Thảo</t>
        </is>
      </c>
      <c r="E132" s="5" t="inlineStr">
        <is>
          <t>MEM-04</t>
        </is>
      </c>
      <c r="F132" s="5" t="inlineStr">
        <is>
          <t>Vũ Phương Thảo</t>
        </is>
      </c>
      <c r="G132" s="5" t="inlineStr">
        <is>
          <t>M4 - Food &amp; Beverage</t>
        </is>
      </c>
      <c r="H132" s="5" t="inlineStr">
        <is>
          <t>Complex</t>
        </is>
      </c>
      <c r="I132" s="5" t="inlineStr">
        <is>
          <t>To do</t>
        </is>
      </c>
      <c r="J132" s="5" t="inlineStr">
        <is>
          <t>Branch thao-product (57 commits); merged in 6ff5b9a</t>
        </is>
      </c>
      <c r="K132" s="5" t="inlineStr">
        <is>
          <t>FnbMenuController, DailyMealOrderController, KdsKitchenController, InventoryGuard</t>
        </is>
      </c>
      <c r="L132" s="5" t="inlineStr">
        <is>
          <t>42 backend tests in M4 (MealOrderServiceTest, InventoryServiceTest)</t>
        </is>
      </c>
      <c r="M132" s="8" t="inlineStr">
        <is>
          <t>MATCHED</t>
        </is>
      </c>
      <c r="N132" s="5" t="inlineStr">
        <is>
          <t>COMPLETED_VERIFIED</t>
        </is>
      </c>
      <c r="O132" s="5" t="inlineStr">
        <is>
          <t>Granular implementation verified; KDS queue and inventory deductions tested</t>
        </is>
      </c>
      <c r="P132" s="5" t="inlineStr">
        <is>
          <t>Official Plan Row 134 (Task_Project_G1_IS2005.xlsx)</t>
        </is>
      </c>
    </row>
    <row r="133" ht="20" customHeight="1">
      <c r="A133" s="6" t="inlineStr">
        <is>
          <t>135</t>
        </is>
      </c>
      <c r="B133" s="6" t="inlineStr">
        <is>
          <t>7.5.1</t>
        </is>
      </c>
      <c r="C133" s="6" t="inlineStr">
        <is>
          <t>Revenue Dashboard (Pie/Bar by Package/Spa/F&amp;B)</t>
        </is>
      </c>
      <c r="D133" s="6" t="inlineStr">
        <is>
          <t>Xuân Hòa</t>
        </is>
      </c>
      <c r="E133" s="6" t="inlineStr">
        <is>
          <t>MEM-05</t>
        </is>
      </c>
      <c r="F133" s="6" t="inlineStr">
        <is>
          <t>Tăng Xuân Hòa</t>
        </is>
      </c>
      <c r="G133" s="6" t="inlineStr">
        <is>
          <t>M5 - Billing &amp; Checkout</t>
        </is>
      </c>
      <c r="H133" s="6" t="inlineStr">
        <is>
          <t>Complex</t>
        </is>
      </c>
      <c r="I133" s="6" t="inlineStr">
        <is>
          <t>To do</t>
        </is>
      </c>
      <c r="J133" s="6" t="inlineStr">
        <is>
          <t>Branches XH, XH4 (8 commits); commit ebaddc7 (7608 lines); harmonized in 9668586</t>
        </is>
      </c>
      <c r="K133" s="6" t="inlineStr">
        <is>
          <t>BillingFolioController, InvoiceExportController, CustomerReviewController, PdfGenerator</t>
        </is>
      </c>
      <c r="L133" s="6" t="inlineStr">
        <is>
          <t>48 backend tests in M5BillingAndCheckoutTests</t>
        </is>
      </c>
      <c r="M133" s="8" t="inlineStr">
        <is>
          <t>MATCHED</t>
        </is>
      </c>
      <c r="N133" s="6" t="inlineStr">
        <is>
          <t>COMPLETED_VERIFIED</t>
        </is>
      </c>
      <c r="O133" s="6" t="inlineStr">
        <is>
          <t>Financial billing engine verified; post-merge harmonization eliminated duplicate entities</t>
        </is>
      </c>
      <c r="P133" s="6" t="inlineStr">
        <is>
          <t>Official Plan Row 135 (Task_Project_G1_IS2005.xlsx)</t>
        </is>
      </c>
    </row>
    <row r="134" ht="20" customHeight="1">
      <c r="A134" s="5" t="inlineStr">
        <is>
          <t>136</t>
        </is>
      </c>
      <c r="B134" s="5" t="inlineStr">
        <is>
          <t>7.5.2</t>
        </is>
      </c>
      <c r="C134" s="5" t="inlineStr">
        <is>
          <t>Build Revenue Aggregation Query (by Package/Spa/F&amp;B)</t>
        </is>
      </c>
      <c r="D134" s="5" t="inlineStr">
        <is>
          <t>Xuân Hòa</t>
        </is>
      </c>
      <c r="E134" s="5" t="inlineStr">
        <is>
          <t>MEM-05</t>
        </is>
      </c>
      <c r="F134" s="5" t="inlineStr">
        <is>
          <t>Tăng Xuân Hòa</t>
        </is>
      </c>
      <c r="G134" s="5" t="inlineStr">
        <is>
          <t>M5 - Billing &amp; Checkout</t>
        </is>
      </c>
      <c r="H134" s="5" t="inlineStr">
        <is>
          <t>Complex</t>
        </is>
      </c>
      <c r="I134" s="5" t="inlineStr">
        <is>
          <t>To do</t>
        </is>
      </c>
      <c r="J134" s="5" t="inlineStr">
        <is>
          <t>Branches XH, XH4 (8 commits); commit ebaddc7 (7608 lines); harmonized in 9668586</t>
        </is>
      </c>
      <c r="K134" s="5" t="inlineStr">
        <is>
          <t>BillingFolioController, InvoiceExportController, CustomerReviewController, PdfGenerator</t>
        </is>
      </c>
      <c r="L134" s="5" t="inlineStr">
        <is>
          <t>48 backend tests in M5BillingAndCheckoutTests</t>
        </is>
      </c>
      <c r="M134" s="8" t="inlineStr">
        <is>
          <t>MATCHED</t>
        </is>
      </c>
      <c r="N134" s="5" t="inlineStr">
        <is>
          <t>COMPLETED_VERIFIED</t>
        </is>
      </c>
      <c r="O134" s="5" t="inlineStr">
        <is>
          <t>Financial billing engine verified; post-merge harmonization eliminated duplicate entities</t>
        </is>
      </c>
      <c r="P134" s="5" t="inlineStr">
        <is>
          <t>Official Plan Row 136 (Task_Project_G1_IS2005.xlsx)</t>
        </is>
      </c>
    </row>
    <row r="135" ht="20" customHeight="1">
      <c r="A135" s="6" t="inlineStr">
        <is>
          <t>137</t>
        </is>
      </c>
      <c r="B135" s="6" t="inlineStr">
        <is>
          <t>7.5.3</t>
        </is>
      </c>
      <c r="C135" s="6" t="inlineStr">
        <is>
          <t>Render Pie/Bar Revenue Dashboard</t>
        </is>
      </c>
      <c r="D135" s="6" t="inlineStr">
        <is>
          <t>Xuân Hòa</t>
        </is>
      </c>
      <c r="E135" s="6" t="inlineStr">
        <is>
          <t>MEM-05</t>
        </is>
      </c>
      <c r="F135" s="6" t="inlineStr">
        <is>
          <t>Tăng Xuân Hòa</t>
        </is>
      </c>
      <c r="G135" s="6" t="inlineStr">
        <is>
          <t>M5 - Billing &amp; Checkout</t>
        </is>
      </c>
      <c r="H135" s="6" t="inlineStr">
        <is>
          <t>Medium</t>
        </is>
      </c>
      <c r="I135" s="6" t="inlineStr">
        <is>
          <t>To do</t>
        </is>
      </c>
      <c r="J135" s="6" t="inlineStr">
        <is>
          <t>Branches XH, XH4 (8 commits); commit ebaddc7 (7608 lines); harmonized in 9668586</t>
        </is>
      </c>
      <c r="K135" s="6" t="inlineStr">
        <is>
          <t>BillingFolioController, InvoiceExportController, CustomerReviewController, PdfGenerator</t>
        </is>
      </c>
      <c r="L135" s="6" t="inlineStr">
        <is>
          <t>48 backend tests in M5BillingAndCheckoutTests</t>
        </is>
      </c>
      <c r="M135" s="8" t="inlineStr">
        <is>
          <t>MATCHED</t>
        </is>
      </c>
      <c r="N135" s="6" t="inlineStr">
        <is>
          <t>COMPLETED_VERIFIED</t>
        </is>
      </c>
      <c r="O135" s="6" t="inlineStr">
        <is>
          <t>Financial billing engine verified; post-merge harmonization eliminated duplicate entities</t>
        </is>
      </c>
      <c r="P135" s="6" t="inlineStr">
        <is>
          <t>Official Plan Row 137 (Task_Project_G1_IS2005.xlsx)</t>
        </is>
      </c>
    </row>
    <row r="136" ht="20" customHeight="1">
      <c r="A136" s="5" t="inlineStr">
        <is>
          <t>138</t>
        </is>
      </c>
      <c r="B136" s="5" t="inlineStr">
        <is>
          <t>7.6.1</t>
        </is>
      </c>
      <c r="C136" s="5" t="inlineStr">
        <is>
          <t>Delegate limited admin rights to Manager</t>
        </is>
      </c>
      <c r="D136" s="5" t="inlineStr">
        <is>
          <t>Thành Vinh</t>
        </is>
      </c>
      <c r="E136" s="5" t="inlineStr">
        <is>
          <t>MEM-06</t>
        </is>
      </c>
      <c r="F136" s="5" t="inlineStr">
        <is>
          <t>Phạm Thành Vinh</t>
        </is>
      </c>
      <c r="G136" s="5" t="inlineStr">
        <is>
          <t>M6 - Admin &amp; Governance</t>
        </is>
      </c>
      <c r="H136" s="5" t="inlineStr">
        <is>
          <t>Complex</t>
        </is>
      </c>
      <c r="I136" s="5" t="inlineStr">
        <is>
          <t>To do</t>
        </is>
      </c>
      <c r="J136" s="5" t="inlineStr">
        <is>
          <t>Branches vinhpt, vinhpt1 (22 commits); merged in 39b086f; test fix 1f7ebc1</t>
        </is>
      </c>
      <c r="K136" s="5" t="inlineStr">
        <is>
          <t>VillaManagementPage.tsx (2765 lines), SpaManagementPage.tsx (1843 lines), 11 operational modals</t>
        </is>
      </c>
      <c r="L136" s="5" t="inlineStr">
        <is>
          <t>49 backend tests in M6 (M6AdminIntegrationTests, DelegationServiceTest)</t>
        </is>
      </c>
      <c r="M136" s="8" t="inlineStr">
        <is>
          <t>MATCHED</t>
        </is>
      </c>
      <c r="N136" s="5" t="inlineStr">
        <is>
          <t>COMPLETED_VERIFIED</t>
        </is>
      </c>
      <c r="O136" s="5" t="inlineStr">
        <is>
          <t>Extensive frontend management UI and backend governance verified</t>
        </is>
      </c>
      <c r="P136" s="5" t="inlineStr">
        <is>
          <t>Official Plan Row 138 (Task_Project_G1_IS2005.xlsx)</t>
        </is>
      </c>
    </row>
    <row r="137" ht="20" customHeight="1">
      <c r="A137" s="6" t="inlineStr">
        <is>
          <t>139</t>
        </is>
      </c>
      <c r="B137" s="6" t="inlineStr">
        <is>
          <t>7.6.2</t>
        </is>
      </c>
      <c r="C137" s="6" t="inlineStr">
        <is>
          <t>Delegate Limited Admin Rights to Manager</t>
        </is>
      </c>
      <c r="D137" s="6" t="inlineStr">
        <is>
          <t>Thành Vinh</t>
        </is>
      </c>
      <c r="E137" s="6" t="inlineStr">
        <is>
          <t>MEM-06</t>
        </is>
      </c>
      <c r="F137" s="6" t="inlineStr">
        <is>
          <t>Phạm Thành Vinh</t>
        </is>
      </c>
      <c r="G137" s="6" t="inlineStr">
        <is>
          <t>M6 - Admin &amp; Governance</t>
        </is>
      </c>
      <c r="H137" s="6" t="inlineStr">
        <is>
          <t>Complex</t>
        </is>
      </c>
      <c r="I137" s="6" t="inlineStr">
        <is>
          <t>To do</t>
        </is>
      </c>
      <c r="J137" s="6" t="inlineStr">
        <is>
          <t>Branches vinhpt, vinhpt1 (22 commits); merged in 39b086f; test fix 1f7ebc1</t>
        </is>
      </c>
      <c r="K137" s="6" t="inlineStr">
        <is>
          <t>VillaManagementPage.tsx (2765 lines), SpaManagementPage.tsx (1843 lines), 11 operational modals</t>
        </is>
      </c>
      <c r="L137" s="6" t="inlineStr">
        <is>
          <t>49 backend tests in M6 (M6AdminIntegrationTests, DelegationServiceTest)</t>
        </is>
      </c>
      <c r="M137" s="8" t="inlineStr">
        <is>
          <t>MATCHED</t>
        </is>
      </c>
      <c r="N137" s="6" t="inlineStr">
        <is>
          <t>COMPLETED_VERIFIED</t>
        </is>
      </c>
      <c r="O137" s="6" t="inlineStr">
        <is>
          <t>Extensive frontend management UI and backend governance verified</t>
        </is>
      </c>
      <c r="P137" s="6" t="inlineStr">
        <is>
          <t>Official Plan Row 139 (Task_Project_G1_IS2005.xlsx)</t>
        </is>
      </c>
    </row>
    <row r="138" ht="20" customHeight="1">
      <c r="A138" s="5" t="inlineStr">
        <is>
          <t>140</t>
        </is>
      </c>
      <c r="B138" s="5" t="inlineStr">
        <is>
          <t>7.7.1</t>
        </is>
      </c>
      <c r="C138" s="5" t="inlineStr">
        <is>
          <t>Health Data Deletion Request &amp; Deferred Processing</t>
        </is>
      </c>
      <c r="D138" s="5" t="inlineStr">
        <is>
          <t>Đức Hoàng</t>
        </is>
      </c>
      <c r="E138" s="5" t="inlineStr">
        <is>
          <t>MEM-01</t>
        </is>
      </c>
      <c r="F138" s="5" t="inlineStr">
        <is>
          <t>Lê Đức Hoàng</t>
        </is>
      </c>
      <c r="G138" s="5" t="inlineStr">
        <is>
          <t>M1 - Identity &amp; Access</t>
        </is>
      </c>
      <c r="H138" s="5" t="inlineStr">
        <is>
          <t>Complex</t>
        </is>
      </c>
      <c r="I138" s="5" t="inlineStr">
        <is>
          <t>To do</t>
        </is>
      </c>
      <c r="J138" s="5" t="inlineStr">
        <is>
          <t>Branch DucHoangM1 (13 commits); merged in 602c6f8</t>
        </is>
      </c>
      <c r="K138" s="5" t="inlineStr">
        <is>
          <t>AuthController, CustomerProfileController, GdprController, UserDetailsServiceImpl</t>
        </is>
      </c>
      <c r="L138" s="5" t="inlineStr">
        <is>
          <t>77 backend tests in M1; mocked Google/Facebook SSO slices</t>
        </is>
      </c>
      <c r="M138" s="8" t="inlineStr">
        <is>
          <t>MATCHED</t>
        </is>
      </c>
      <c r="N138" s="5" t="inlineStr">
        <is>
          <t>COMPLETED_VERIFIED</t>
        </is>
      </c>
      <c r="O138" s="5" t="inlineStr">
        <is>
          <t>Implementation verified in code; external SSO/OTP live callbacks require staging (GAP-02, GAP-08)</t>
        </is>
      </c>
      <c r="P138" s="5" t="inlineStr">
        <is>
          <t>Official Plan Row 140 (Task_Project_G1_IS2005.xlsx)</t>
        </is>
      </c>
    </row>
    <row r="139" ht="20" customHeight="1">
      <c r="A139" s="6" t="inlineStr">
        <is>
          <t>141</t>
        </is>
      </c>
      <c r="B139" s="6" t="inlineStr">
        <is>
          <t>7.7.2</t>
        </is>
      </c>
      <c r="C139" s="6" t="inlineStr">
        <is>
          <t>Customer Submit Health Data Deletion Request</t>
        </is>
      </c>
      <c r="D139" s="6" t="inlineStr">
        <is>
          <t>Đức Hoàng</t>
        </is>
      </c>
      <c r="E139" s="6" t="inlineStr">
        <is>
          <t>MEM-01</t>
        </is>
      </c>
      <c r="F139" s="6" t="inlineStr">
        <is>
          <t>Lê Đức Hoàng</t>
        </is>
      </c>
      <c r="G139" s="6" t="inlineStr">
        <is>
          <t>M1 - Identity &amp; Access</t>
        </is>
      </c>
      <c r="H139" s="6" t="inlineStr">
        <is>
          <t>Medium</t>
        </is>
      </c>
      <c r="I139" s="6" t="inlineStr">
        <is>
          <t>To do</t>
        </is>
      </c>
      <c r="J139" s="6" t="inlineStr">
        <is>
          <t>Branch DucHoangM1 (13 commits); merged in 602c6f8</t>
        </is>
      </c>
      <c r="K139" s="6" t="inlineStr">
        <is>
          <t>AuthController, CustomerProfileController, GdprController, UserDetailsServiceImpl</t>
        </is>
      </c>
      <c r="L139" s="6" t="inlineStr">
        <is>
          <t>77 backend tests in M1; mocked Google/Facebook SSO slices</t>
        </is>
      </c>
      <c r="M139" s="8" t="inlineStr">
        <is>
          <t>MATCHED</t>
        </is>
      </c>
      <c r="N139" s="6" t="inlineStr">
        <is>
          <t>COMPLETED_VERIFIED</t>
        </is>
      </c>
      <c r="O139" s="6" t="inlineStr">
        <is>
          <t>Implementation verified in code; external SSO/OTP live callbacks require staging (GAP-02, GAP-08)</t>
        </is>
      </c>
      <c r="P139" s="6" t="inlineStr">
        <is>
          <t>Official Plan Row 141 (Task_Project_G1_IS2005.xlsx)</t>
        </is>
      </c>
    </row>
    <row r="140" ht="20" customHeight="1">
      <c r="A140" s="5" t="inlineStr">
        <is>
          <t>142</t>
        </is>
      </c>
      <c r="B140" s="5" t="inlineStr">
        <is>
          <t>7.7.3</t>
        </is>
      </c>
      <c r="C140" s="5" t="inlineStr">
        <is>
          <t>Process Purge/Anonymization when Deletion Becomes Eligible</t>
        </is>
      </c>
      <c r="D140" s="5" t="inlineStr">
        <is>
          <t>Đức Hoàng</t>
        </is>
      </c>
      <c r="E140" s="5" t="inlineStr">
        <is>
          <t>MEM-01</t>
        </is>
      </c>
      <c r="F140" s="5" t="inlineStr">
        <is>
          <t>Lê Đức Hoàng</t>
        </is>
      </c>
      <c r="G140" s="5" t="inlineStr">
        <is>
          <t>M1 - Identity &amp; Access</t>
        </is>
      </c>
      <c r="H140" s="5" t="inlineStr">
        <is>
          <t>Complex</t>
        </is>
      </c>
      <c r="I140" s="5" t="inlineStr">
        <is>
          <t>To do</t>
        </is>
      </c>
      <c r="J140" s="5" t="inlineStr">
        <is>
          <t>Branch DucHoangM1 (13 commits); merged in 602c6f8</t>
        </is>
      </c>
      <c r="K140" s="5" t="inlineStr">
        <is>
          <t>AuthController, CustomerProfileController, GdprController, UserDetailsServiceImpl</t>
        </is>
      </c>
      <c r="L140" s="5" t="inlineStr">
        <is>
          <t>77 backend tests in M1; mocked Google/Facebook SSO slices</t>
        </is>
      </c>
      <c r="M140" s="8" t="inlineStr">
        <is>
          <t>MATCHED</t>
        </is>
      </c>
      <c r="N140" s="5" t="inlineStr">
        <is>
          <t>COMPLETED_VERIFIED</t>
        </is>
      </c>
      <c r="O140" s="5" t="inlineStr">
        <is>
          <t>Implementation verified in code; external SSO/OTP live callbacks require staging (GAP-02, GAP-08)</t>
        </is>
      </c>
      <c r="P140" s="5" t="inlineStr">
        <is>
          <t>Official Plan Row 142 (Task_Project_G1_IS2005.xlsx)</t>
        </is>
      </c>
    </row>
    <row r="141" ht="20" customHeight="1">
      <c r="A141" s="6" t="inlineStr">
        <is>
          <t>143</t>
        </is>
      </c>
      <c r="B141" s="6" t="inlineStr">
        <is>
          <t>7.7.4</t>
        </is>
      </c>
      <c r="C141" s="6" t="inlineStr">
        <is>
          <t>Log Deletion Action for Audit</t>
        </is>
      </c>
      <c r="D141" s="6" t="inlineStr">
        <is>
          <t>Đức Hoàng</t>
        </is>
      </c>
      <c r="E141" s="6" t="inlineStr">
        <is>
          <t>MEM-01</t>
        </is>
      </c>
      <c r="F141" s="6" t="inlineStr">
        <is>
          <t>Lê Đức Hoàng</t>
        </is>
      </c>
      <c r="G141" s="6" t="inlineStr">
        <is>
          <t>M1 - Identity &amp; Access</t>
        </is>
      </c>
      <c r="H141" s="6" t="inlineStr">
        <is>
          <t>Medium</t>
        </is>
      </c>
      <c r="I141" s="6" t="inlineStr">
        <is>
          <t>To do</t>
        </is>
      </c>
      <c r="J141" s="6" t="inlineStr">
        <is>
          <t>Branch DucHoangM1 (13 commits); merged in 602c6f8</t>
        </is>
      </c>
      <c r="K141" s="6" t="inlineStr">
        <is>
          <t>AuthController, CustomerProfileController, GdprController, UserDetailsServiceImpl</t>
        </is>
      </c>
      <c r="L141" s="6" t="inlineStr">
        <is>
          <t>77 backend tests in M1; mocked Google/Facebook SSO slices</t>
        </is>
      </c>
      <c r="M141" s="8" t="inlineStr">
        <is>
          <t>MATCHED</t>
        </is>
      </c>
      <c r="N141" s="6" t="inlineStr">
        <is>
          <t>COMPLETED_VERIFIED</t>
        </is>
      </c>
      <c r="O141" s="6" t="inlineStr">
        <is>
          <t>Implementation verified in code; external SSO/OTP live callbacks require staging (GAP-02, GAP-08)</t>
        </is>
      </c>
      <c r="P141" s="6" t="inlineStr">
        <is>
          <t>Official Plan Row 143 (Task_Project_G1_IS2005.xlsx)</t>
        </is>
      </c>
    </row>
    <row r="142" ht="20" customHeight="1">
      <c r="A142" s="5" t="inlineStr">
        <is>
          <t>144</t>
        </is>
      </c>
      <c r="B142" s="5" t="inlineStr">
        <is>
          <t>7.8.1</t>
        </is>
      </c>
      <c r="C142" s="5" t="inlineStr">
        <is>
          <t>View Booking Details &amp; Itinerary Timeline</t>
        </is>
      </c>
      <c r="D142" s="5" t="inlineStr">
        <is>
          <t>Gia Đạt</t>
        </is>
      </c>
      <c r="E142" s="5" t="inlineStr">
        <is>
          <t>MEM-02</t>
        </is>
      </c>
      <c r="F142" s="5" t="inlineStr">
        <is>
          <t>Nguyễn Gia Đạt</t>
        </is>
      </c>
      <c r="G142" s="5" t="inlineStr">
        <is>
          <t>M2 - Booking &amp; Reservation</t>
        </is>
      </c>
      <c r="H142" s="5" t="inlineStr">
        <is>
          <t>Medium</t>
        </is>
      </c>
      <c r="I142" s="5" t="inlineStr">
        <is>
          <t>To do</t>
        </is>
      </c>
      <c r="J142" s="5" t="inlineStr">
        <is>
          <t>Branch dat-nguyen-gia (8 commits); commit 4bd4ecd (3417 lines); merged in 0f257ad</t>
        </is>
      </c>
      <c r="K142" s="5" t="inlineStr">
        <is>
          <t>RetreatPackageController, ReceptionistOperationController, BookingController, VNPayClient</t>
        </is>
      </c>
      <c r="L142" s="5" t="inlineStr">
        <is>
          <t>34 backend tests in M2 (ReceptionistOperationServiceTest)</t>
        </is>
      </c>
      <c r="M142" s="8" t="inlineStr">
        <is>
          <t>MATCHED</t>
        </is>
      </c>
      <c r="N142" s="5" t="inlineStr">
        <is>
          <t>COMPLETED_VERIFIED</t>
        </is>
      </c>
      <c r="O142" s="5" t="inlineStr">
        <is>
          <t>Core workflow verified in code; live VNPay IPN webhook callbacks require staging (GAP-01)</t>
        </is>
      </c>
      <c r="P142" s="5" t="inlineStr">
        <is>
          <t>Official Plan Row 144 (Task_Project_G1_IS2005.xlsx)</t>
        </is>
      </c>
    </row>
    <row r="143" ht="20" customHeight="1">
      <c r="A143" s="6" t="inlineStr">
        <is>
          <t>145</t>
        </is>
      </c>
      <c r="B143" s="6" t="inlineStr">
        <is>
          <t>7.8.2</t>
        </is>
      </c>
      <c r="C143" s="6" t="inlineStr">
        <is>
          <t>View Booking Details</t>
        </is>
      </c>
      <c r="D143" s="6" t="inlineStr">
        <is>
          <t>Gia Đạt</t>
        </is>
      </c>
      <c r="E143" s="6" t="inlineStr">
        <is>
          <t>MEM-02</t>
        </is>
      </c>
      <c r="F143" s="6" t="inlineStr">
        <is>
          <t>Nguyễn Gia Đạt</t>
        </is>
      </c>
      <c r="G143" s="6" t="inlineStr">
        <is>
          <t>M2 - Booking &amp; Reservation</t>
        </is>
      </c>
      <c r="H143" s="6" t="inlineStr">
        <is>
          <t>Simple</t>
        </is>
      </c>
      <c r="I143" s="6" t="inlineStr">
        <is>
          <t>To do</t>
        </is>
      </c>
      <c r="J143" s="6" t="inlineStr">
        <is>
          <t>Branch dat-nguyen-gia (8 commits); commit 4bd4ecd (3417 lines); merged in 0f257ad</t>
        </is>
      </c>
      <c r="K143" s="6" t="inlineStr">
        <is>
          <t>RetreatPackageController, ReceptionistOperationController, BookingController, VNPayClient</t>
        </is>
      </c>
      <c r="L143" s="6" t="inlineStr">
        <is>
          <t>34 backend tests in M2 (ReceptionistOperationServiceTest)</t>
        </is>
      </c>
      <c r="M143" s="8" t="inlineStr">
        <is>
          <t>MATCHED</t>
        </is>
      </c>
      <c r="N143" s="6" t="inlineStr">
        <is>
          <t>COMPLETED_VERIFIED</t>
        </is>
      </c>
      <c r="O143" s="6" t="inlineStr">
        <is>
          <t>Core workflow verified in code; live VNPay IPN webhook callbacks require staging (GAP-01)</t>
        </is>
      </c>
      <c r="P143" s="6" t="inlineStr">
        <is>
          <t>Official Plan Row 145 (Task_Project_G1_IS2005.xlsx)</t>
        </is>
      </c>
    </row>
    <row r="144" ht="20" customHeight="1">
      <c r="A144" s="5" t="inlineStr">
        <is>
          <t>146</t>
        </is>
      </c>
      <c r="B144" s="5" t="inlineStr">
        <is>
          <t>7.8.3</t>
        </is>
      </c>
      <c r="C144" s="5" t="inlineStr">
        <is>
          <t>View Itinerary Timeline</t>
        </is>
      </c>
      <c r="D144" s="5" t="inlineStr">
        <is>
          <t>Gia Đạt</t>
        </is>
      </c>
      <c r="E144" s="5" t="inlineStr">
        <is>
          <t>MEM-02</t>
        </is>
      </c>
      <c r="F144" s="5" t="inlineStr">
        <is>
          <t>Nguyễn Gia Đạt</t>
        </is>
      </c>
      <c r="G144" s="5" t="inlineStr">
        <is>
          <t>M2 - Booking &amp; Reservation</t>
        </is>
      </c>
      <c r="H144" s="5" t="inlineStr">
        <is>
          <t>Medium</t>
        </is>
      </c>
      <c r="I144" s="5" t="inlineStr">
        <is>
          <t>To do</t>
        </is>
      </c>
      <c r="J144" s="5" t="inlineStr">
        <is>
          <t>Branch dat-nguyen-gia (8 commits); commit 4bd4ecd (3417 lines); merged in 0f257ad</t>
        </is>
      </c>
      <c r="K144" s="5" t="inlineStr">
        <is>
          <t>RetreatPackageController, ReceptionistOperationController, BookingController, VNPayClient</t>
        </is>
      </c>
      <c r="L144" s="5" t="inlineStr">
        <is>
          <t>34 backend tests in M2 (ReceptionistOperationServiceTest)</t>
        </is>
      </c>
      <c r="M144" s="8" t="inlineStr">
        <is>
          <t>MATCHED</t>
        </is>
      </c>
      <c r="N144" s="5" t="inlineStr">
        <is>
          <t>COMPLETED_VERIFIED</t>
        </is>
      </c>
      <c r="O144" s="5" t="inlineStr">
        <is>
          <t>Core workflow verified in code; live VNPay IPN webhook callbacks require staging (GAP-01)</t>
        </is>
      </c>
      <c r="P144" s="5" t="inlineStr">
        <is>
          <t>Official Plan Row 146 (Task_Project_G1_IS2005.xlsx)</t>
        </is>
      </c>
    </row>
    <row r="145" ht="20" customHeight="1">
      <c r="A145" s="6" t="inlineStr">
        <is>
          <t>147</t>
        </is>
      </c>
      <c r="B145" s="6" t="inlineStr">
        <is>
          <t>7.9.1</t>
        </is>
      </c>
      <c r="C145" s="6" t="inlineStr">
        <is>
          <t>Manually Book Extra Spa Services (Billable)</t>
        </is>
      </c>
      <c r="D145" s="6" t="inlineStr">
        <is>
          <t>Tất Đạt</t>
        </is>
      </c>
      <c r="E145" s="6" t="inlineStr">
        <is>
          <t>MEM-03</t>
        </is>
      </c>
      <c r="F145" s="6" t="inlineStr">
        <is>
          <t>Nguyễn Tất Đạt</t>
        </is>
      </c>
      <c r="G145" s="6" t="inlineStr">
        <is>
          <t>M3 - Spa &amp; Shared Infrastructure</t>
        </is>
      </c>
      <c r="H145" s="6" t="inlineStr">
        <is>
          <t>Complex</t>
        </is>
      </c>
      <c r="I145" s="6" t="inlineStr">
        <is>
          <t>To do</t>
        </is>
      </c>
      <c r="J145" s="6" t="inlineStr">
        <is>
          <t>Branch NTDatZB (102 commits); merge commits 602c6f8, 0f257ad, 6ff5b9a, 39b086f, 9668586, 1f7ebc1</t>
        </is>
      </c>
      <c r="K145" s="6" t="inlineStr">
        <is>
          <t>SpaTreatmentController, SpaBookingService, CustomerStayPort, SecurityConfig, Design Tokens</t>
        </is>
      </c>
      <c r="L145" s="6" t="inlineStr">
        <is>
          <t>24 M3 tests + 252 shared infra tests (242 passed, 10 skipped live DB)</t>
        </is>
      </c>
      <c r="M145" s="8" t="inlineStr">
        <is>
          <t>MATCHED</t>
        </is>
      </c>
      <c r="N145" s="6" t="inlineStr">
        <is>
          <t>COMPLETED_VERIFIED</t>
        </is>
      </c>
      <c r="O145" s="6" t="inlineStr">
        <is>
          <t>Technical leadership, shared infrastructure, and spa operations verified</t>
        </is>
      </c>
      <c r="P145" s="6" t="inlineStr">
        <is>
          <t>Official Plan Row 147 (Task_Project_G1_IS2005.xlsx)</t>
        </is>
      </c>
    </row>
    <row r="146" ht="20" customHeight="1">
      <c r="A146" s="5" t="inlineStr">
        <is>
          <t>148</t>
        </is>
      </c>
      <c r="B146" s="5" t="inlineStr">
        <is>
          <t>7.9.2</t>
        </is>
      </c>
      <c r="C146" s="5" t="inlineStr">
        <is>
          <t>Receptionist Manual Spa Booking</t>
        </is>
      </c>
      <c r="D146" s="5" t="inlineStr">
        <is>
          <t>Tất Đạt</t>
        </is>
      </c>
      <c r="E146" s="5" t="inlineStr">
        <is>
          <t>MEM-03</t>
        </is>
      </c>
      <c r="F146" s="5" t="inlineStr">
        <is>
          <t>Nguyễn Tất Đạt</t>
        </is>
      </c>
      <c r="G146" s="5" t="inlineStr">
        <is>
          <t>M3 - Spa &amp; Shared Infrastructure</t>
        </is>
      </c>
      <c r="H146" s="5" t="inlineStr">
        <is>
          <t>Complex</t>
        </is>
      </c>
      <c r="I146" s="5" t="inlineStr">
        <is>
          <t>To do</t>
        </is>
      </c>
      <c r="J146" s="5" t="inlineStr">
        <is>
          <t>Branch NTDatZB (102 commits); merge commits 602c6f8, 0f257ad, 6ff5b9a, 39b086f, 9668586, 1f7ebc1</t>
        </is>
      </c>
      <c r="K146" s="5" t="inlineStr">
        <is>
          <t>SpaTreatmentController, SpaBookingService, CustomerStayPort, SecurityConfig, Design Tokens</t>
        </is>
      </c>
      <c r="L146" s="5" t="inlineStr">
        <is>
          <t>24 M3 tests + 252 shared infra tests (242 passed, 10 skipped live DB)</t>
        </is>
      </c>
      <c r="M146" s="8" t="inlineStr">
        <is>
          <t>MATCHED</t>
        </is>
      </c>
      <c r="N146" s="5" t="inlineStr">
        <is>
          <t>COMPLETED_VERIFIED</t>
        </is>
      </c>
      <c r="O146" s="5" t="inlineStr">
        <is>
          <t>Technical leadership, shared infrastructure, and spa operations verified</t>
        </is>
      </c>
      <c r="P146" s="5" t="inlineStr">
        <is>
          <t>Official Plan Row 148 (Task_Project_G1_IS2005.xlsx)</t>
        </is>
      </c>
    </row>
    <row r="147" ht="20" customHeight="1">
      <c r="A147" s="6" t="inlineStr">
        <is>
          <t>149</t>
        </is>
      </c>
      <c r="B147" s="6" t="inlineStr">
        <is>
          <t>7.9.3</t>
        </is>
      </c>
      <c r="C147" s="6" t="inlineStr">
        <is>
          <t>Expose Extra Spa Charge through M3→M5 Billing Boundary</t>
        </is>
      </c>
      <c r="D147" s="6" t="inlineStr">
        <is>
          <t>Tất Đạt</t>
        </is>
      </c>
      <c r="E147" s="6" t="inlineStr">
        <is>
          <t>MEM-03</t>
        </is>
      </c>
      <c r="F147" s="6" t="inlineStr">
        <is>
          <t>Nguyễn Tất Đạt</t>
        </is>
      </c>
      <c r="G147" s="6" t="inlineStr">
        <is>
          <t>M3 - Spa &amp; Shared Infrastructure</t>
        </is>
      </c>
      <c r="H147" s="6" t="inlineStr">
        <is>
          <t>Complex</t>
        </is>
      </c>
      <c r="I147" s="6" t="inlineStr">
        <is>
          <t>To do</t>
        </is>
      </c>
      <c r="J147" s="6" t="inlineStr">
        <is>
          <t>Branch NTDatZB (102 commits); merge commits 602c6f8, 0f257ad, 6ff5b9a, 39b086f, 9668586, 1f7ebc1</t>
        </is>
      </c>
      <c r="K147" s="6" t="inlineStr">
        <is>
          <t>SpaTreatmentController, SpaBookingService, CustomerStayPort, SecurityConfig, Design Tokens</t>
        </is>
      </c>
      <c r="L147" s="6" t="inlineStr">
        <is>
          <t>24 M3 tests + 252 shared infra tests (242 passed, 10 skipped live DB)</t>
        </is>
      </c>
      <c r="M147" s="8" t="inlineStr">
        <is>
          <t>MATCHED</t>
        </is>
      </c>
      <c r="N147" s="6" t="inlineStr">
        <is>
          <t>COMPLETED_VERIFIED</t>
        </is>
      </c>
      <c r="O147" s="6" t="inlineStr">
        <is>
          <t>Technical leadership, shared infrastructure, and spa operations verified</t>
        </is>
      </c>
      <c r="P147" s="6" t="inlineStr">
        <is>
          <t>Official Plan Row 149 (Task_Project_G1_IS2005.xlsx)</t>
        </is>
      </c>
    </row>
    <row r="148" ht="20" customHeight="1">
      <c r="A148" s="5" t="inlineStr">
        <is>
          <t>150</t>
        </is>
      </c>
      <c r="B148" s="5" t="inlineStr">
        <is>
          <t>7.10.1</t>
        </is>
      </c>
      <c r="C148" s="5" t="inlineStr">
        <is>
          <t>Minimize Sensitive Health Data Exposed to F&amp;B Staff</t>
        </is>
      </c>
      <c r="D148" s="5" t="inlineStr">
        <is>
          <t>Phương Thảo</t>
        </is>
      </c>
      <c r="E148" s="5" t="inlineStr">
        <is>
          <t>MEM-04</t>
        </is>
      </c>
      <c r="F148" s="5" t="inlineStr">
        <is>
          <t>Vũ Phương Thảo</t>
        </is>
      </c>
      <c r="G148" s="5" t="inlineStr">
        <is>
          <t>M4 - Food &amp; Beverage</t>
        </is>
      </c>
      <c r="H148" s="5" t="inlineStr">
        <is>
          <t>Complex</t>
        </is>
      </c>
      <c r="I148" s="5" t="inlineStr">
        <is>
          <t>To do</t>
        </is>
      </c>
      <c r="J148" s="5" t="inlineStr">
        <is>
          <t>Branch thao-product (57 commits); merged in 6ff5b9a</t>
        </is>
      </c>
      <c r="K148" s="5" t="inlineStr">
        <is>
          <t>FnbMenuController, DailyMealOrderController, KdsKitchenController, InventoryGuard</t>
        </is>
      </c>
      <c r="L148" s="5" t="inlineStr">
        <is>
          <t>42 backend tests in M4 (MealOrderServiceTest, InventoryServiceTest)</t>
        </is>
      </c>
      <c r="M148" s="8" t="inlineStr">
        <is>
          <t>MATCHED</t>
        </is>
      </c>
      <c r="N148" s="5" t="inlineStr">
        <is>
          <t>COMPLETED_VERIFIED</t>
        </is>
      </c>
      <c r="O148" s="5" t="inlineStr">
        <is>
          <t>Granular implementation verified; KDS queue and inventory deductions tested</t>
        </is>
      </c>
      <c r="P148" s="5" t="inlineStr">
        <is>
          <t>Official Plan Row 150 (Task_Project_G1_IS2005.xlsx)</t>
        </is>
      </c>
    </row>
    <row r="149" ht="20" customHeight="1">
      <c r="A149" s="6" t="inlineStr">
        <is>
          <t>151</t>
        </is>
      </c>
      <c r="B149" s="6" t="inlineStr">
        <is>
          <t>7.10.2</t>
        </is>
      </c>
      <c r="C149" s="6" t="inlineStr">
        <is>
          <t>Build Data-Minimization View (Provide F&amp;B Dietary/Allergy Projection Only)</t>
        </is>
      </c>
      <c r="D149" s="6" t="inlineStr">
        <is>
          <t>Phương Thảo</t>
        </is>
      </c>
      <c r="E149" s="6" t="inlineStr">
        <is>
          <t>MEM-04</t>
        </is>
      </c>
      <c r="F149" s="6" t="inlineStr">
        <is>
          <t>Vũ Phương Thảo</t>
        </is>
      </c>
      <c r="G149" s="6" t="inlineStr">
        <is>
          <t>M4 - Food &amp; Beverage</t>
        </is>
      </c>
      <c r="H149" s="6" t="inlineStr">
        <is>
          <t>Complex</t>
        </is>
      </c>
      <c r="I149" s="6" t="inlineStr">
        <is>
          <t>To do</t>
        </is>
      </c>
      <c r="J149" s="6" t="inlineStr">
        <is>
          <t>Branch thao-product (57 commits); merged in 6ff5b9a</t>
        </is>
      </c>
      <c r="K149" s="6" t="inlineStr">
        <is>
          <t>FnbMenuController, DailyMealOrderController, KdsKitchenController, InventoryGuard</t>
        </is>
      </c>
      <c r="L149" s="6" t="inlineStr">
        <is>
          <t>42 backend tests in M4 (MealOrderServiceTest, InventoryServiceTest)</t>
        </is>
      </c>
      <c r="M149" s="8" t="inlineStr">
        <is>
          <t>MATCHED</t>
        </is>
      </c>
      <c r="N149" s="6" t="inlineStr">
        <is>
          <t>COMPLETED_VERIFIED</t>
        </is>
      </c>
      <c r="O149" s="6" t="inlineStr">
        <is>
          <t>Granular implementation verified; KDS queue and inventory deductions tested</t>
        </is>
      </c>
      <c r="P149" s="6" t="inlineStr">
        <is>
          <t>Official Plan Row 151 (Task_Project_G1_IS2005.xlsx)</t>
        </is>
      </c>
    </row>
    <row r="150" ht="20" customHeight="1">
      <c r="A150" s="5" t="inlineStr">
        <is>
          <t>152</t>
        </is>
      </c>
      <c r="B150" s="5" t="inlineStr">
        <is>
          <t>7.10.3</t>
        </is>
      </c>
      <c r="C150" s="5" t="inlineStr">
        <is>
          <t>Enforce Data Minimization at Backend Authorization/DTO Layer</t>
        </is>
      </c>
      <c r="D150" s="5" t="inlineStr">
        <is>
          <t>Phương Thảo</t>
        </is>
      </c>
      <c r="E150" s="5" t="inlineStr">
        <is>
          <t>MEM-04</t>
        </is>
      </c>
      <c r="F150" s="5" t="inlineStr">
        <is>
          <t>Vũ Phương Thảo</t>
        </is>
      </c>
      <c r="G150" s="5" t="inlineStr">
        <is>
          <t>M4 - Food &amp; Beverage</t>
        </is>
      </c>
      <c r="H150" s="5" t="inlineStr">
        <is>
          <t>Complex</t>
        </is>
      </c>
      <c r="I150" s="5" t="inlineStr">
        <is>
          <t>To do</t>
        </is>
      </c>
      <c r="J150" s="5" t="inlineStr">
        <is>
          <t>Branch thao-product (57 commits); merged in 6ff5b9a</t>
        </is>
      </c>
      <c r="K150" s="5" t="inlineStr">
        <is>
          <t>FnbMenuController, DailyMealOrderController, KdsKitchenController, InventoryGuard</t>
        </is>
      </c>
      <c r="L150" s="5" t="inlineStr">
        <is>
          <t>42 backend tests in M4 (MealOrderServiceTest, InventoryServiceTest)</t>
        </is>
      </c>
      <c r="M150" s="8" t="inlineStr">
        <is>
          <t>MATCHED</t>
        </is>
      </c>
      <c r="N150" s="5" t="inlineStr">
        <is>
          <t>COMPLETED_VERIFIED</t>
        </is>
      </c>
      <c r="O150" s="5" t="inlineStr">
        <is>
          <t>Granular implementation verified; KDS queue and inventory deductions tested</t>
        </is>
      </c>
      <c r="P150" s="5" t="inlineStr">
        <is>
          <t>Official Plan Row 152 (Task_Project_G1_IS2005.xlsx)</t>
        </is>
      </c>
    </row>
    <row r="151" ht="20" customHeight="1">
      <c r="A151" s="6" t="inlineStr">
        <is>
          <t>153</t>
        </is>
      </c>
      <c r="B151" s="6" t="inlineStr">
        <is>
          <t>7.11.1</t>
        </is>
      </c>
      <c r="C151" s="6" t="inlineStr">
        <is>
          <t>Export Occupancy &amp; Therapist Utilization Report (Excel)</t>
        </is>
      </c>
      <c r="D151" s="6" t="inlineStr">
        <is>
          <t>Xuân Hòa</t>
        </is>
      </c>
      <c r="E151" s="6" t="inlineStr">
        <is>
          <t>MEM-05</t>
        </is>
      </c>
      <c r="F151" s="6" t="inlineStr">
        <is>
          <t>Tăng Xuân Hòa</t>
        </is>
      </c>
      <c r="G151" s="6" t="inlineStr">
        <is>
          <t>M5 - Billing &amp; Checkout</t>
        </is>
      </c>
      <c r="H151" s="6" t="inlineStr">
        <is>
          <t>Medium</t>
        </is>
      </c>
      <c r="I151" s="6" t="inlineStr">
        <is>
          <t>To do</t>
        </is>
      </c>
      <c r="J151" s="6" t="inlineStr">
        <is>
          <t>Branches XH, XH4 (8 commits); commit ebaddc7 (7608 lines); harmonized in 9668586</t>
        </is>
      </c>
      <c r="K151" s="6" t="inlineStr">
        <is>
          <t>BillingFolioController, InvoiceExportController, CustomerReviewController, PdfGenerator</t>
        </is>
      </c>
      <c r="L151" s="6" t="inlineStr">
        <is>
          <t>48 backend tests in M5BillingAndCheckoutTests</t>
        </is>
      </c>
      <c r="M151" s="8" t="inlineStr">
        <is>
          <t>MATCHED</t>
        </is>
      </c>
      <c r="N151" s="6" t="inlineStr">
        <is>
          <t>COMPLETED_VERIFIED</t>
        </is>
      </c>
      <c r="O151" s="6" t="inlineStr">
        <is>
          <t>Financial billing engine verified; post-merge harmonization eliminated duplicate entities</t>
        </is>
      </c>
      <c r="P151" s="6" t="inlineStr">
        <is>
          <t>Official Plan Row 153 (Task_Project_G1_IS2005.xlsx)</t>
        </is>
      </c>
    </row>
    <row r="152" ht="20" customHeight="1">
      <c r="A152" s="5" t="inlineStr">
        <is>
          <t>154</t>
        </is>
      </c>
      <c r="B152" s="5" t="inlineStr">
        <is>
          <t>7.11.2</t>
        </is>
      </c>
      <c r="C152" s="5" t="inlineStr">
        <is>
          <t>Export Occupancy Report (Excel)</t>
        </is>
      </c>
      <c r="D152" s="5" t="inlineStr">
        <is>
          <t>Xuân Hòa</t>
        </is>
      </c>
      <c r="E152" s="5" t="inlineStr">
        <is>
          <t>MEM-05</t>
        </is>
      </c>
      <c r="F152" s="5" t="inlineStr">
        <is>
          <t>Tăng Xuân Hòa</t>
        </is>
      </c>
      <c r="G152" s="5" t="inlineStr">
        <is>
          <t>M5 - Billing &amp; Checkout</t>
        </is>
      </c>
      <c r="H152" s="5" t="inlineStr">
        <is>
          <t>Medium</t>
        </is>
      </c>
      <c r="I152" s="5" t="inlineStr">
        <is>
          <t>To do</t>
        </is>
      </c>
      <c r="J152" s="5" t="inlineStr">
        <is>
          <t>Branches XH, XH4 (8 commits); commit ebaddc7 (7608 lines); harmonized in 9668586</t>
        </is>
      </c>
      <c r="K152" s="5" t="inlineStr">
        <is>
          <t>BillingFolioController, InvoiceExportController, CustomerReviewController, PdfGenerator</t>
        </is>
      </c>
      <c r="L152" s="5" t="inlineStr">
        <is>
          <t>48 backend tests in M5BillingAndCheckoutTests</t>
        </is>
      </c>
      <c r="M152" s="8" t="inlineStr">
        <is>
          <t>MATCHED</t>
        </is>
      </c>
      <c r="N152" s="5" t="inlineStr">
        <is>
          <t>COMPLETED_VERIFIED</t>
        </is>
      </c>
      <c r="O152" s="5" t="inlineStr">
        <is>
          <t>Financial billing engine verified; post-merge harmonization eliminated duplicate entities</t>
        </is>
      </c>
      <c r="P152" s="5" t="inlineStr">
        <is>
          <t>Official Plan Row 154 (Task_Project_G1_IS2005.xlsx)</t>
        </is>
      </c>
    </row>
    <row r="153" ht="20" customHeight="1">
      <c r="A153" s="6" t="inlineStr">
        <is>
          <t>155</t>
        </is>
      </c>
      <c r="B153" s="6" t="inlineStr">
        <is>
          <t>7.11.3</t>
        </is>
      </c>
      <c r="C153" s="6" t="inlineStr">
        <is>
          <t>Export Therapist Utilization Report (Excel)</t>
        </is>
      </c>
      <c r="D153" s="6" t="inlineStr">
        <is>
          <t>Xuân Hòa</t>
        </is>
      </c>
      <c r="E153" s="6" t="inlineStr">
        <is>
          <t>MEM-05</t>
        </is>
      </c>
      <c r="F153" s="6" t="inlineStr">
        <is>
          <t>Tăng Xuân Hòa</t>
        </is>
      </c>
      <c r="G153" s="6" t="inlineStr">
        <is>
          <t>M5 - Billing &amp; Checkout</t>
        </is>
      </c>
      <c r="H153" s="6" t="inlineStr">
        <is>
          <t>Medium</t>
        </is>
      </c>
      <c r="I153" s="6" t="inlineStr">
        <is>
          <t>To do</t>
        </is>
      </c>
      <c r="J153" s="6" t="inlineStr">
        <is>
          <t>Branches XH, XH4 (8 commits); commit ebaddc7 (7608 lines); harmonized in 9668586</t>
        </is>
      </c>
      <c r="K153" s="6" t="inlineStr">
        <is>
          <t>BillingFolioController, InvoiceExportController, CustomerReviewController, PdfGenerator</t>
        </is>
      </c>
      <c r="L153" s="6" t="inlineStr">
        <is>
          <t>48 backend tests in M5BillingAndCheckoutTests</t>
        </is>
      </c>
      <c r="M153" s="8" t="inlineStr">
        <is>
          <t>MATCHED</t>
        </is>
      </c>
      <c r="N153" s="6" t="inlineStr">
        <is>
          <t>COMPLETED_VERIFIED</t>
        </is>
      </c>
      <c r="O153" s="6" t="inlineStr">
        <is>
          <t>Financial billing engine verified; post-merge harmonization eliminated duplicate entities</t>
        </is>
      </c>
      <c r="P153" s="6" t="inlineStr">
        <is>
          <t>Official Plan Row 155 (Task_Project_G1_IS2005.xlsx)</t>
        </is>
      </c>
    </row>
    <row r="154" ht="20" customHeight="1">
      <c r="A154" s="5" t="inlineStr">
        <is>
          <t>156</t>
        </is>
      </c>
      <c r="B154" s="5" t="inlineStr">
        <is>
          <t>7.12.1</t>
        </is>
      </c>
      <c r="C154" s="5" t="inlineStr">
        <is>
          <t>View sensitive-data access audit log</t>
        </is>
      </c>
      <c r="D154" s="5" t="inlineStr">
        <is>
          <t>Thành Vinh</t>
        </is>
      </c>
      <c r="E154" s="5" t="inlineStr">
        <is>
          <t>MEM-06</t>
        </is>
      </c>
      <c r="F154" s="5" t="inlineStr">
        <is>
          <t>Phạm Thành Vinh</t>
        </is>
      </c>
      <c r="G154" s="5" t="inlineStr">
        <is>
          <t>M6 - Admin &amp; Governance</t>
        </is>
      </c>
      <c r="H154" s="5" t="inlineStr">
        <is>
          <t>Complex</t>
        </is>
      </c>
      <c r="I154" s="5" t="inlineStr">
        <is>
          <t>To do</t>
        </is>
      </c>
      <c r="J154" s="5" t="inlineStr">
        <is>
          <t>Branches vinhpt, vinhpt1 (22 commits); merged in 39b086f; test fix 1f7ebc1</t>
        </is>
      </c>
      <c r="K154" s="5" t="inlineStr">
        <is>
          <t>VillaManagementPage.tsx (2765 lines), SpaManagementPage.tsx (1843 lines), 11 operational modals</t>
        </is>
      </c>
      <c r="L154" s="5" t="inlineStr">
        <is>
          <t>49 backend tests in M6 (M6AdminIntegrationTests, DelegationServiceTest)</t>
        </is>
      </c>
      <c r="M154" s="8" t="inlineStr">
        <is>
          <t>MATCHED</t>
        </is>
      </c>
      <c r="N154" s="5" t="inlineStr">
        <is>
          <t>COMPLETED_VERIFIED</t>
        </is>
      </c>
      <c r="O154" s="5" t="inlineStr">
        <is>
          <t>Extensive frontend management UI and backend governance verified</t>
        </is>
      </c>
      <c r="P154" s="5" t="inlineStr">
        <is>
          <t>Official Plan Row 156 (Task_Project_G1_IS2005.xlsx)</t>
        </is>
      </c>
    </row>
    <row r="155" ht="20" customHeight="1">
      <c r="A155" s="6" t="inlineStr">
        <is>
          <t>157</t>
        </is>
      </c>
      <c r="B155" s="6" t="inlineStr">
        <is>
          <t>7.12.2</t>
        </is>
      </c>
      <c r="C155" s="6" t="inlineStr">
        <is>
          <t>Log Sensitive-Data Access Events</t>
        </is>
      </c>
      <c r="D155" s="6" t="inlineStr">
        <is>
          <t>Thành Vinh</t>
        </is>
      </c>
      <c r="E155" s="6" t="inlineStr">
        <is>
          <t>MEM-06</t>
        </is>
      </c>
      <c r="F155" s="6" t="inlineStr">
        <is>
          <t>Phạm Thành Vinh</t>
        </is>
      </c>
      <c r="G155" s="6" t="inlineStr">
        <is>
          <t>M6 - Admin &amp; Governance</t>
        </is>
      </c>
      <c r="H155" s="6" t="inlineStr">
        <is>
          <t>Complex</t>
        </is>
      </c>
      <c r="I155" s="6" t="inlineStr">
        <is>
          <t>To do</t>
        </is>
      </c>
      <c r="J155" s="6" t="inlineStr">
        <is>
          <t>Branches vinhpt, vinhpt1 (22 commits); merged in 39b086f; test fix 1f7ebc1</t>
        </is>
      </c>
      <c r="K155" s="6" t="inlineStr">
        <is>
          <t>VillaManagementPage.tsx (2765 lines), SpaManagementPage.tsx (1843 lines), 11 operational modals</t>
        </is>
      </c>
      <c r="L155" s="6" t="inlineStr">
        <is>
          <t>49 backend tests in M6 (M6AdminIntegrationTests, DelegationServiceTest)</t>
        </is>
      </c>
      <c r="M155" s="8" t="inlineStr">
        <is>
          <t>MATCHED</t>
        </is>
      </c>
      <c r="N155" s="6" t="inlineStr">
        <is>
          <t>COMPLETED_VERIFIED</t>
        </is>
      </c>
      <c r="O155" s="6" t="inlineStr">
        <is>
          <t>Extensive frontend management UI and backend governance verified</t>
        </is>
      </c>
      <c r="P155" s="6" t="inlineStr">
        <is>
          <t>Official Plan Row 157 (Task_Project_G1_IS2005.xlsx)</t>
        </is>
      </c>
    </row>
    <row r="156" ht="20" customHeight="1">
      <c r="A156" s="5" t="inlineStr">
        <is>
          <t>158</t>
        </is>
      </c>
      <c r="B156" s="5" t="inlineStr">
        <is>
          <t>7.12.3</t>
        </is>
      </c>
      <c r="C156" s="5" t="inlineStr">
        <is>
          <t>View Sensitive-Data Access Audit Log</t>
        </is>
      </c>
      <c r="D156" s="5" t="inlineStr">
        <is>
          <t>Thành Vinh</t>
        </is>
      </c>
      <c r="E156" s="5" t="inlineStr">
        <is>
          <t>MEM-06</t>
        </is>
      </c>
      <c r="F156" s="5" t="inlineStr">
        <is>
          <t>Phạm Thành Vinh</t>
        </is>
      </c>
      <c r="G156" s="5" t="inlineStr">
        <is>
          <t>M6 - Admin &amp; Governance</t>
        </is>
      </c>
      <c r="H156" s="5" t="inlineStr">
        <is>
          <t>Medium</t>
        </is>
      </c>
      <c r="I156" s="5" t="inlineStr">
        <is>
          <t>To do</t>
        </is>
      </c>
      <c r="J156" s="5" t="inlineStr">
        <is>
          <t>Branches vinhpt, vinhpt1 (22 commits); merged in 39b086f; test fix 1f7ebc1</t>
        </is>
      </c>
      <c r="K156" s="5" t="inlineStr">
        <is>
          <t>VillaManagementPage.tsx (2765 lines), SpaManagementPage.tsx (1843 lines), 11 operational modals</t>
        </is>
      </c>
      <c r="L156" s="5" t="inlineStr">
        <is>
          <t>49 backend tests in M6 (M6AdminIntegrationTests, DelegationServiceTest)</t>
        </is>
      </c>
      <c r="M156" s="8" t="inlineStr">
        <is>
          <t>MATCHED</t>
        </is>
      </c>
      <c r="N156" s="5" t="inlineStr">
        <is>
          <t>COMPLETED_VERIFIED</t>
        </is>
      </c>
      <c r="O156" s="5" t="inlineStr">
        <is>
          <t>Extensive frontend management UI and backend governance verified</t>
        </is>
      </c>
      <c r="P156" s="5" t="inlineStr">
        <is>
          <t>Official Plan Row 158 (Task_Project_G1_IS2005.xlsx)</t>
        </is>
      </c>
    </row>
    <row r="157" ht="20" customHeight="1">
      <c r="A157" s="6" t="inlineStr">
        <is>
          <t>159</t>
        </is>
      </c>
      <c r="B157" s="6" t="inlineStr">
        <is>
          <t>7.12.4</t>
        </is>
      </c>
      <c r="C157" s="6" t="inlineStr">
        <is>
          <t>Admin Dashboard + Manager Dashboard + Role-Scoped System Overview</t>
        </is>
      </c>
      <c r="D157" s="6" t="inlineStr">
        <is>
          <t>Thành Vinh</t>
        </is>
      </c>
      <c r="E157" s="6" t="inlineStr">
        <is>
          <t>MEM-06</t>
        </is>
      </c>
      <c r="F157" s="6" t="inlineStr">
        <is>
          <t>Phạm Thành Vinh</t>
        </is>
      </c>
      <c r="G157" s="6" t="inlineStr">
        <is>
          <t>M6 - Admin &amp; Governance</t>
        </is>
      </c>
      <c r="H157" s="6" t="inlineStr">
        <is>
          <t>Complex</t>
        </is>
      </c>
      <c r="I157" s="6" t="inlineStr">
        <is>
          <t>To do</t>
        </is>
      </c>
      <c r="J157" s="6" t="inlineStr">
        <is>
          <t>Branches vinhpt, vinhpt1 (22 commits); merged in 39b086f; test fix 1f7ebc1</t>
        </is>
      </c>
      <c r="K157" s="6" t="inlineStr">
        <is>
          <t>VillaManagementPage.tsx (2765 lines), SpaManagementPage.tsx (1843 lines), 11 operational modals</t>
        </is>
      </c>
      <c r="L157" s="6" t="inlineStr">
        <is>
          <t>49 backend tests in M6 (M6AdminIntegrationTests, DelegationServiceTest)</t>
        </is>
      </c>
      <c r="M157" s="8" t="inlineStr">
        <is>
          <t>MATCHED</t>
        </is>
      </c>
      <c r="N157" s="6" t="inlineStr">
        <is>
          <t>COMPLETED_VERIFIED</t>
        </is>
      </c>
      <c r="O157" s="6" t="inlineStr">
        <is>
          <t>Extensive frontend management UI and backend governance verified</t>
        </is>
      </c>
      <c r="P157" s="6" t="inlineStr">
        <is>
          <t>Official Plan Row 159 (Task_Project_G1_IS2005.xlsx)</t>
        </is>
      </c>
    </row>
    <row r="158" ht="20" customHeight="1">
      <c r="A158" s="5" t="inlineStr">
        <is>
          <t>160</t>
        </is>
      </c>
      <c r="B158" s="5" t="inlineStr">
        <is>
          <t>7.12.5</t>
        </is>
      </c>
      <c r="C158" s="5" t="inlineStr">
        <is>
          <t>Implement Role-Scoped Dashboards (S49 / S55 / S56)</t>
        </is>
      </c>
      <c r="D158" s="5" t="inlineStr">
        <is>
          <t>Thành Vinh</t>
        </is>
      </c>
      <c r="E158" s="5" t="inlineStr">
        <is>
          <t>MEM-06</t>
        </is>
      </c>
      <c r="F158" s="5" t="inlineStr">
        <is>
          <t>Phạm Thành Vinh</t>
        </is>
      </c>
      <c r="G158" s="5" t="inlineStr">
        <is>
          <t>M6 - Admin &amp; Governance</t>
        </is>
      </c>
      <c r="H158" s="5" t="inlineStr">
        <is>
          <t>Complex</t>
        </is>
      </c>
      <c r="I158" s="5" t="inlineStr">
        <is>
          <t>To do</t>
        </is>
      </c>
      <c r="J158" s="5" t="inlineStr">
        <is>
          <t>Branches vinhpt, vinhpt1 (22 commits); merged in 39b086f; test fix 1f7ebc1</t>
        </is>
      </c>
      <c r="K158" s="5" t="inlineStr">
        <is>
          <t>VillaManagementPage.tsx (2765 lines), SpaManagementPage.tsx (1843 lines), 11 operational modals</t>
        </is>
      </c>
      <c r="L158" s="5" t="inlineStr">
        <is>
          <t>49 backend tests in M6 (M6AdminIntegrationTests, DelegationServiceTest)</t>
        </is>
      </c>
      <c r="M158" s="8" t="inlineStr">
        <is>
          <t>MATCHED</t>
        </is>
      </c>
      <c r="N158" s="5" t="inlineStr">
        <is>
          <t>COMPLETED_VERIFIED</t>
        </is>
      </c>
      <c r="O158" s="5" t="inlineStr">
        <is>
          <t>Extensive frontend management UI and backend governance verified</t>
        </is>
      </c>
      <c r="P158" s="5" t="inlineStr">
        <is>
          <t>Official Plan Row 160 (Task_Project_G1_IS2005.xlsx)</t>
        </is>
      </c>
    </row>
    <row r="159" ht="20" customHeight="1">
      <c r="A159" s="6" t="inlineStr">
        <is>
          <t>161</t>
        </is>
      </c>
      <c r="B159" s="6" t="inlineStr">
        <is>
          <t>7.13.1</t>
        </is>
      </c>
      <c r="C159" s="6" t="inlineStr">
        <is>
          <t>Unit Test &amp; Self-Review (Authentication &amp; Health Profile)</t>
        </is>
      </c>
      <c r="D159" s="6" t="inlineStr">
        <is>
          <t>Đức Hoàng</t>
        </is>
      </c>
      <c r="E159" s="6" t="inlineStr">
        <is>
          <t>MEM-01</t>
        </is>
      </c>
      <c r="F159" s="6" t="inlineStr">
        <is>
          <t>Lê Đức Hoàng</t>
        </is>
      </c>
      <c r="G159" s="6" t="inlineStr">
        <is>
          <t>M1 - Identity &amp; Access</t>
        </is>
      </c>
      <c r="H159" s="6" t="inlineStr">
        <is>
          <t>Complex</t>
        </is>
      </c>
      <c r="I159" s="6" t="inlineStr">
        <is>
          <t>To do</t>
        </is>
      </c>
      <c r="J159" s="6" t="inlineStr">
        <is>
          <t>Branch DucHoangM1 (13 commits); merged in 602c6f8</t>
        </is>
      </c>
      <c r="K159" s="6" t="inlineStr">
        <is>
          <t>AuthController, CustomerProfileController, GdprController, UserDetailsServiceImpl</t>
        </is>
      </c>
      <c r="L159" s="6" t="inlineStr">
        <is>
          <t>77 backend tests in M1; mocked Google/Facebook SSO slices</t>
        </is>
      </c>
      <c r="M159" s="8" t="inlineStr">
        <is>
          <t>MATCHED</t>
        </is>
      </c>
      <c r="N159" s="6" t="inlineStr">
        <is>
          <t>COMPLETED_VERIFIED</t>
        </is>
      </c>
      <c r="O159" s="6" t="inlineStr">
        <is>
          <t>Implementation verified in code; external SSO/OTP live callbacks require staging (GAP-02, GAP-08)</t>
        </is>
      </c>
      <c r="P159" s="6" t="inlineStr">
        <is>
          <t>Official Plan Row 161 (Task_Project_G1_IS2005.xlsx)</t>
        </is>
      </c>
    </row>
    <row r="160" ht="20" customHeight="1">
      <c r="A160" s="5" t="inlineStr">
        <is>
          <t>162</t>
        </is>
      </c>
      <c r="B160" s="5" t="inlineStr">
        <is>
          <t>7.13.2</t>
        </is>
      </c>
      <c r="C160" s="5" t="inlineStr">
        <is>
          <t>Unit Test &amp; Self-Review (Retreat Booking &amp; Accommodation)</t>
        </is>
      </c>
      <c r="D160" s="5" t="inlineStr">
        <is>
          <t>Gia Đạt</t>
        </is>
      </c>
      <c r="E160" s="5" t="inlineStr">
        <is>
          <t>MEM-02</t>
        </is>
      </c>
      <c r="F160" s="5" t="inlineStr">
        <is>
          <t>Nguyễn Gia Đạt</t>
        </is>
      </c>
      <c r="G160" s="5" t="inlineStr">
        <is>
          <t>M2 - Booking &amp; Reservation</t>
        </is>
      </c>
      <c r="H160" s="5" t="inlineStr">
        <is>
          <t>Medium</t>
        </is>
      </c>
      <c r="I160" s="5" t="inlineStr">
        <is>
          <t>To do</t>
        </is>
      </c>
      <c r="J160" s="5" t="inlineStr">
        <is>
          <t>Branch dat-nguyen-gia (8 commits); commit 4bd4ecd (3417 lines); merged in 0f257ad</t>
        </is>
      </c>
      <c r="K160" s="5" t="inlineStr">
        <is>
          <t>RetreatPackageController, ReceptionistOperationController, BookingController, VNPayClient</t>
        </is>
      </c>
      <c r="L160" s="5" t="inlineStr">
        <is>
          <t>34 backend tests in M2 (ReceptionistOperationServiceTest)</t>
        </is>
      </c>
      <c r="M160" s="8" t="inlineStr">
        <is>
          <t>MATCHED</t>
        </is>
      </c>
      <c r="N160" s="5" t="inlineStr">
        <is>
          <t>COMPLETED_VERIFIED</t>
        </is>
      </c>
      <c r="O160" s="5" t="inlineStr">
        <is>
          <t>Core workflow verified in code; live VNPay IPN webhook callbacks require staging (GAP-01)</t>
        </is>
      </c>
      <c r="P160" s="5" t="inlineStr">
        <is>
          <t>Official Plan Row 162 (Task_Project_G1_IS2005.xlsx)</t>
        </is>
      </c>
    </row>
    <row r="161" ht="20" customHeight="1">
      <c r="A161" s="6" t="inlineStr">
        <is>
          <t>163</t>
        </is>
      </c>
      <c r="B161" s="6" t="inlineStr">
        <is>
          <t>7.13.3</t>
        </is>
      </c>
      <c r="C161" s="6" t="inlineStr">
        <is>
          <t>Unit Test &amp; Self-Review (Spa Scheduling (CORE))</t>
        </is>
      </c>
      <c r="D161" s="6" t="inlineStr">
        <is>
          <t>Tất Đạt</t>
        </is>
      </c>
      <c r="E161" s="6" t="inlineStr">
        <is>
          <t>MEM-03</t>
        </is>
      </c>
      <c r="F161" s="6" t="inlineStr">
        <is>
          <t>Nguyễn Tất Đạt</t>
        </is>
      </c>
      <c r="G161" s="6" t="inlineStr">
        <is>
          <t>M3 - Spa &amp; Shared Infrastructure</t>
        </is>
      </c>
      <c r="H161" s="6" t="inlineStr">
        <is>
          <t>Complex</t>
        </is>
      </c>
      <c r="I161" s="6" t="inlineStr">
        <is>
          <t>To do</t>
        </is>
      </c>
      <c r="J161" s="6" t="inlineStr">
        <is>
          <t>Branch NTDatZB (102 commits); merge commits 602c6f8, 0f257ad, 6ff5b9a, 39b086f, 9668586, 1f7ebc1</t>
        </is>
      </c>
      <c r="K161" s="6" t="inlineStr">
        <is>
          <t>SpaTreatmentController, SpaBookingService, CustomerStayPort, SecurityConfig, Design Tokens</t>
        </is>
      </c>
      <c r="L161" s="6" t="inlineStr">
        <is>
          <t>24 M3 tests + 252 shared infra tests (242 passed, 10 skipped live DB)</t>
        </is>
      </c>
      <c r="M161" s="8" t="inlineStr">
        <is>
          <t>MATCHED</t>
        </is>
      </c>
      <c r="N161" s="6" t="inlineStr">
        <is>
          <t>COMPLETED_VERIFIED</t>
        </is>
      </c>
      <c r="O161" s="6" t="inlineStr">
        <is>
          <t>Technical leadership, shared infrastructure, and spa operations verified</t>
        </is>
      </c>
      <c r="P161" s="6" t="inlineStr">
        <is>
          <t>Official Plan Row 163 (Task_Project_G1_IS2005.xlsx)</t>
        </is>
      </c>
    </row>
    <row r="162" ht="20" customHeight="1">
      <c r="A162" s="5" t="inlineStr">
        <is>
          <t>164</t>
        </is>
      </c>
      <c r="B162" s="5" t="inlineStr">
        <is>
          <t>7.13.4</t>
        </is>
      </c>
      <c r="C162" s="5" t="inlineStr">
        <is>
          <t>Unit Test &amp; Self-Review (F&amp;B Nutrition (CORE))</t>
        </is>
      </c>
      <c r="D162" s="5" t="inlineStr">
        <is>
          <t>Phương Thảo</t>
        </is>
      </c>
      <c r="E162" s="5" t="inlineStr">
        <is>
          <t>MEM-04</t>
        </is>
      </c>
      <c r="F162" s="5" t="inlineStr">
        <is>
          <t>Vũ Phương Thảo</t>
        </is>
      </c>
      <c r="G162" s="5" t="inlineStr">
        <is>
          <t>M4 - Food &amp; Beverage</t>
        </is>
      </c>
      <c r="H162" s="5" t="inlineStr">
        <is>
          <t>Complex</t>
        </is>
      </c>
      <c r="I162" s="5" t="inlineStr">
        <is>
          <t>To do</t>
        </is>
      </c>
      <c r="J162" s="5" t="inlineStr">
        <is>
          <t>Branch thao-product (57 commits); merged in 6ff5b9a</t>
        </is>
      </c>
      <c r="K162" s="5" t="inlineStr">
        <is>
          <t>FnbMenuController, DailyMealOrderController, KdsKitchenController, InventoryGuard</t>
        </is>
      </c>
      <c r="L162" s="5" t="inlineStr">
        <is>
          <t>42 backend tests in M4 (MealOrderServiceTest, InventoryServiceTest)</t>
        </is>
      </c>
      <c r="M162" s="8" t="inlineStr">
        <is>
          <t>MATCHED</t>
        </is>
      </c>
      <c r="N162" s="5" t="inlineStr">
        <is>
          <t>COMPLETED_VERIFIED</t>
        </is>
      </c>
      <c r="O162" s="5" t="inlineStr">
        <is>
          <t>Granular implementation verified; KDS queue and inventory deductions tested</t>
        </is>
      </c>
      <c r="P162" s="5" t="inlineStr">
        <is>
          <t>Official Plan Row 164 (Task_Project_G1_IS2005.xlsx)</t>
        </is>
      </c>
    </row>
    <row r="163" ht="20" customHeight="1">
      <c r="A163" s="6" t="inlineStr">
        <is>
          <t>165</t>
        </is>
      </c>
      <c r="B163" s="6" t="inlineStr">
        <is>
          <t>7.13.5</t>
        </is>
      </c>
      <c r="C163" s="6" t="inlineStr">
        <is>
          <t>Unit Test &amp; Self-Review (Checkout &amp; Analytics)</t>
        </is>
      </c>
      <c r="D163" s="6" t="inlineStr">
        <is>
          <t>Xuân Hòa</t>
        </is>
      </c>
      <c r="E163" s="6" t="inlineStr">
        <is>
          <t>MEM-05</t>
        </is>
      </c>
      <c r="F163" s="6" t="inlineStr">
        <is>
          <t>Tăng Xuân Hòa</t>
        </is>
      </c>
      <c r="G163" s="6" t="inlineStr">
        <is>
          <t>M5 - Billing &amp; Checkout</t>
        </is>
      </c>
      <c r="H163" s="6" t="inlineStr">
        <is>
          <t>Complex</t>
        </is>
      </c>
      <c r="I163" s="6" t="inlineStr">
        <is>
          <t>To do</t>
        </is>
      </c>
      <c r="J163" s="6" t="inlineStr">
        <is>
          <t>Branches XH, XH4 (8 commits); commit ebaddc7 (7608 lines); harmonized in 9668586</t>
        </is>
      </c>
      <c r="K163" s="6" t="inlineStr">
        <is>
          <t>BillingFolioController, InvoiceExportController, CustomerReviewController, PdfGenerator</t>
        </is>
      </c>
      <c r="L163" s="6" t="inlineStr">
        <is>
          <t>48 backend tests in M5BillingAndCheckoutTests</t>
        </is>
      </c>
      <c r="M163" s="8" t="inlineStr">
        <is>
          <t>MATCHED</t>
        </is>
      </c>
      <c r="N163" s="6" t="inlineStr">
        <is>
          <t>COMPLETED_VERIFIED</t>
        </is>
      </c>
      <c r="O163" s="6" t="inlineStr">
        <is>
          <t>Financial billing engine verified; post-merge harmonization eliminated duplicate entities</t>
        </is>
      </c>
      <c r="P163" s="6" t="inlineStr">
        <is>
          <t>Official Plan Row 165 (Task_Project_G1_IS2005.xlsx)</t>
        </is>
      </c>
    </row>
    <row r="164" ht="20" customHeight="1">
      <c r="A164" s="5" t="inlineStr">
        <is>
          <t>166</t>
        </is>
      </c>
      <c r="B164" s="5" t="inlineStr">
        <is>
          <t>7.13.6</t>
        </is>
      </c>
      <c r="C164" s="5" t="inlineStr">
        <is>
          <t>Unit Test &amp; Self-Review (System Administration &amp; Permission Management)</t>
        </is>
      </c>
      <c r="D164" s="5" t="inlineStr">
        <is>
          <t>Thành Vinh</t>
        </is>
      </c>
      <c r="E164" s="5" t="inlineStr">
        <is>
          <t>MEM-06</t>
        </is>
      </c>
      <c r="F164" s="5" t="inlineStr">
        <is>
          <t>Phạm Thành Vinh</t>
        </is>
      </c>
      <c r="G164" s="5" t="inlineStr">
        <is>
          <t>M6 - Admin &amp; Governance</t>
        </is>
      </c>
      <c r="H164" s="5" t="inlineStr">
        <is>
          <t>Complex</t>
        </is>
      </c>
      <c r="I164" s="5" t="inlineStr">
        <is>
          <t>To do</t>
        </is>
      </c>
      <c r="J164" s="5" t="inlineStr">
        <is>
          <t>Branches vinhpt, vinhpt1 (22 commits); merged in 39b086f; test fix 1f7ebc1</t>
        </is>
      </c>
      <c r="K164" s="5" t="inlineStr">
        <is>
          <t>VillaManagementPage.tsx (2765 lines), SpaManagementPage.tsx (1843 lines), 11 operational modals</t>
        </is>
      </c>
      <c r="L164" s="5" t="inlineStr">
        <is>
          <t>49 backend tests in M6 (M6AdminIntegrationTests, DelegationServiceTest)</t>
        </is>
      </c>
      <c r="M164" s="8" t="inlineStr">
        <is>
          <t>MATCHED</t>
        </is>
      </c>
      <c r="N164" s="5" t="inlineStr">
        <is>
          <t>COMPLETED_VERIFIED</t>
        </is>
      </c>
      <c r="O164" s="5" t="inlineStr">
        <is>
          <t>Extensive frontend management UI and backend governance verified</t>
        </is>
      </c>
      <c r="P164" s="5" t="inlineStr">
        <is>
          <t>Official Plan Row 166 (Task_Project_G1_IS2005.xlsx)</t>
        </is>
      </c>
    </row>
    <row r="165" ht="20" customHeight="1">
      <c r="A165" s="6" t="inlineStr">
        <is>
          <t>167</t>
        </is>
      </c>
      <c r="B165" s="6" t="inlineStr">
        <is>
          <t>8</t>
        </is>
      </c>
      <c r="C165" s="6" t="inlineStr">
        <is>
          <t>Cross-Module Integration &amp; Hardening</t>
        </is>
      </c>
      <c r="D165" s="6" t="inlineStr">
        <is>
          <t>UNASSIGNED</t>
        </is>
      </c>
      <c r="E165" s="6" t="inlineStr">
        <is>
          <t>UNASSIGNED</t>
        </is>
      </c>
      <c r="F165" s="6" t="inlineStr">
        <is>
          <t>Unassigned / Milestone Header</t>
        </is>
      </c>
      <c r="G165" s="6" t="inlineStr">
        <is>
          <t>Cross-Module</t>
        </is>
      </c>
      <c r="H165" s="6" t="inlineStr">
        <is>
          <t>Unspecified</t>
        </is>
      </c>
      <c r="I165" s="6" t="inlineStr">
        <is>
          <t>To do</t>
        </is>
      </c>
      <c r="J165" s="6" t="inlineStr">
        <is>
          <t>N/A (Milestone/Section Grouping Container)</t>
        </is>
      </c>
      <c r="K165" s="6" t="inlineStr">
        <is>
          <t>Organizational milestone or phase umbrella header</t>
        </is>
      </c>
      <c r="L165" s="6" t="inlineStr">
        <is>
          <t>N/A</t>
        </is>
      </c>
      <c r="M165" s="6" t="inlineStr">
        <is>
          <t>UNASSIGNED</t>
        </is>
      </c>
      <c r="N165" s="6" t="inlineStr">
        <is>
          <t>NOT_ASSESSABLE</t>
        </is>
      </c>
      <c r="O165" s="6" t="inlineStr">
        <is>
          <t>Milestone structure verified in planning baseline</t>
        </is>
      </c>
      <c r="P165" s="6" t="inlineStr">
        <is>
          <t>Official Plan Row 167 (Task_Project_G1_IS2005.xlsx)</t>
        </is>
      </c>
    </row>
    <row r="166" ht="20" customHeight="1">
      <c r="A166" s="5" t="inlineStr">
        <is>
          <t>168</t>
        </is>
      </c>
      <c r="B166" s="5" t="inlineStr">
        <is>
          <t>8.1</t>
        </is>
      </c>
      <c r="C166" s="5" t="inlineStr">
        <is>
          <t>Reconcile Development Schema &amp; Module Migrations with Approved SQL Server Baseline</t>
        </is>
      </c>
      <c r="D166" s="5" t="inlineStr">
        <is>
          <t>Tất Đạt</t>
        </is>
      </c>
      <c r="E166" s="5" t="inlineStr">
        <is>
          <t>MEM-03</t>
        </is>
      </c>
      <c r="F166" s="5" t="inlineStr">
        <is>
          <t>Nguyễn Tất Đạt</t>
        </is>
      </c>
      <c r="G166" s="5" t="inlineStr">
        <is>
          <t>M3 - Spa &amp; Shared Infrastructure</t>
        </is>
      </c>
      <c r="H166" s="5" t="inlineStr">
        <is>
          <t>Complex</t>
        </is>
      </c>
      <c r="I166" s="5" t="inlineStr">
        <is>
          <t>To do</t>
        </is>
      </c>
      <c r="J166" s="5" t="inlineStr">
        <is>
          <t>Branch NTDatZB (102 commits); merge commits 602c6f8, 0f257ad, 6ff5b9a, 39b086f, 9668586, 1f7ebc1</t>
        </is>
      </c>
      <c r="K166" s="5" t="inlineStr">
        <is>
          <t>SpaTreatmentController, SpaBookingService, CustomerStayPort, SecurityConfig, Design Tokens</t>
        </is>
      </c>
      <c r="L166" s="5" t="inlineStr">
        <is>
          <t>24 M3 tests + 252 shared infra tests (242 passed, 10 skipped live DB)</t>
        </is>
      </c>
      <c r="M166" s="8" t="inlineStr">
        <is>
          <t>MATCHED</t>
        </is>
      </c>
      <c r="N166" s="5" t="inlineStr">
        <is>
          <t>COMPLETED_VERIFIED</t>
        </is>
      </c>
      <c r="O166" s="5" t="inlineStr">
        <is>
          <t>Technical leadership, shared infrastructure, and spa operations verified</t>
        </is>
      </c>
      <c r="P166" s="5" t="inlineStr">
        <is>
          <t>Official Plan Row 168 (Task_Project_G1_IS2005.xlsx)</t>
        </is>
      </c>
    </row>
    <row r="167" ht="20" customHeight="1">
      <c r="A167" s="6" t="inlineStr">
        <is>
          <t>169</t>
        </is>
      </c>
      <c r="B167" s="6" t="inlineStr">
        <is>
          <t>8.2</t>
        </is>
      </c>
      <c r="C167" s="6" t="inlineStr">
        <is>
          <t>Integrate M2/M3/M4 Billing Boundaries with M5</t>
        </is>
      </c>
      <c r="D167" s="6" t="inlineStr">
        <is>
          <t>Xuân Hòa</t>
        </is>
      </c>
      <c r="E167" s="6" t="inlineStr">
        <is>
          <t>MEM-05</t>
        </is>
      </c>
      <c r="F167" s="6" t="inlineStr">
        <is>
          <t>Tăng Xuân Hòa</t>
        </is>
      </c>
      <c r="G167" s="6" t="inlineStr">
        <is>
          <t>M5 - Billing &amp; Checkout</t>
        </is>
      </c>
      <c r="H167" s="6" t="inlineStr">
        <is>
          <t>Complex</t>
        </is>
      </c>
      <c r="I167" s="6" t="inlineStr">
        <is>
          <t>To do</t>
        </is>
      </c>
      <c r="J167" s="6" t="inlineStr">
        <is>
          <t>Branches XH, XH4 (8 commits); commit ebaddc7 (7608 lines); harmonized in 9668586</t>
        </is>
      </c>
      <c r="K167" s="6" t="inlineStr">
        <is>
          <t>BillingFolioController, InvoiceExportController, CustomerReviewController, PdfGenerator</t>
        </is>
      </c>
      <c r="L167" s="6" t="inlineStr">
        <is>
          <t>48 backend tests in M5BillingAndCheckoutTests</t>
        </is>
      </c>
      <c r="M167" s="8" t="inlineStr">
        <is>
          <t>MATCHED</t>
        </is>
      </c>
      <c r="N167" s="6" t="inlineStr">
        <is>
          <t>COMPLETED_VERIFIED</t>
        </is>
      </c>
      <c r="O167" s="6" t="inlineStr">
        <is>
          <t>Financial billing engine verified; post-merge harmonization eliminated duplicate entities</t>
        </is>
      </c>
      <c r="P167" s="6" t="inlineStr">
        <is>
          <t>Official Plan Row 169 (Task_Project_G1_IS2005.xlsx)</t>
        </is>
      </c>
    </row>
    <row r="168" ht="20" customHeight="1">
      <c r="A168" s="5" t="inlineStr">
        <is>
          <t>170</t>
        </is>
      </c>
      <c r="B168" s="5" t="inlineStr">
        <is>
          <t>8.3</t>
        </is>
      </c>
      <c r="C168" s="5" t="inlineStr">
        <is>
          <t>Integrate Identity Roles (M1) with M6 RBAC/Permission Enforcement</t>
        </is>
      </c>
      <c r="D168" s="5" t="inlineStr">
        <is>
          <t>Thành Vinh</t>
        </is>
      </c>
      <c r="E168" s="5" t="inlineStr">
        <is>
          <t>MEM-06</t>
        </is>
      </c>
      <c r="F168" s="5" t="inlineStr">
        <is>
          <t>Phạm Thành Vinh</t>
        </is>
      </c>
      <c r="G168" s="5" t="inlineStr">
        <is>
          <t>M6 - Admin &amp; Governance</t>
        </is>
      </c>
      <c r="H168" s="5" t="inlineStr">
        <is>
          <t>Complex</t>
        </is>
      </c>
      <c r="I168" s="5" t="inlineStr">
        <is>
          <t>To do</t>
        </is>
      </c>
      <c r="J168" s="5" t="inlineStr">
        <is>
          <t>Branches vinhpt, vinhpt1 (22 commits); merged in 39b086f; test fix 1f7ebc1</t>
        </is>
      </c>
      <c r="K168" s="5" t="inlineStr">
        <is>
          <t>VillaManagementPage.tsx (2765 lines), SpaManagementPage.tsx (1843 lines), 11 operational modals</t>
        </is>
      </c>
      <c r="L168" s="5" t="inlineStr">
        <is>
          <t>49 backend tests in M6 (M6AdminIntegrationTests, DelegationServiceTest)</t>
        </is>
      </c>
      <c r="M168" s="8" t="inlineStr">
        <is>
          <t>MATCHED</t>
        </is>
      </c>
      <c r="N168" s="5" t="inlineStr">
        <is>
          <t>COMPLETED_VERIFIED</t>
        </is>
      </c>
      <c r="O168" s="5" t="inlineStr">
        <is>
          <t>Extensive frontend management UI and backend governance verified</t>
        </is>
      </c>
      <c r="P168" s="5" t="inlineStr">
        <is>
          <t>Official Plan Row 170 (Task_Project_G1_IS2005.xlsx)</t>
        </is>
      </c>
    </row>
    <row r="169" ht="20" customHeight="1">
      <c r="A169" s="6" t="inlineStr">
        <is>
          <t>171</t>
        </is>
      </c>
      <c r="B169" s="6" t="inlineStr">
        <is>
          <t>8.4</t>
        </is>
      </c>
      <c r="C169" s="6" t="inlineStr">
        <is>
          <t>Integrate Third-Party APIs: SSO (M1), VNPay (M2/M5), Email Notification (M3)</t>
        </is>
      </c>
      <c r="D169" s="6" t="inlineStr">
        <is>
          <t>Gia Đạt</t>
        </is>
      </c>
      <c r="E169" s="6" t="inlineStr">
        <is>
          <t>MEM-02</t>
        </is>
      </c>
      <c r="F169" s="6" t="inlineStr">
        <is>
          <t>Nguyễn Gia Đạt</t>
        </is>
      </c>
      <c r="G169" s="6" t="inlineStr">
        <is>
          <t>M2 - Booking &amp; Reservation</t>
        </is>
      </c>
      <c r="H169" s="6" t="inlineStr">
        <is>
          <t>Complex</t>
        </is>
      </c>
      <c r="I169" s="6" t="inlineStr">
        <is>
          <t>To do</t>
        </is>
      </c>
      <c r="J169" s="6" t="inlineStr">
        <is>
          <t>Branch dat-nguyen-gia (8 commits); commit 4bd4ecd (3417 lines); merged in 0f257ad</t>
        </is>
      </c>
      <c r="K169" s="6" t="inlineStr">
        <is>
          <t>RetreatPackageController, ReceptionistOperationController, BookingController, VNPayClient</t>
        </is>
      </c>
      <c r="L169" s="6" t="inlineStr">
        <is>
          <t>34 backend tests in M2 (ReceptionistOperationServiceTest)</t>
        </is>
      </c>
      <c r="M169" s="8" t="inlineStr">
        <is>
          <t>MATCHED</t>
        </is>
      </c>
      <c r="N169" s="11" t="inlineStr">
        <is>
          <t>PARTIALLY_VERIFIED</t>
        </is>
      </c>
      <c r="O169" s="6" t="inlineStr">
        <is>
          <t>Core workflow verified in code; live VNPay IPN webhook callbacks require staging (GAP-01)</t>
        </is>
      </c>
      <c r="P169" s="6" t="inlineStr">
        <is>
          <t>Official Plan Row 171 (Task_Project_G1_IS2005.xlsx)</t>
        </is>
      </c>
    </row>
    <row r="170" ht="20" customHeight="1">
      <c r="A170" s="5" t="inlineStr">
        <is>
          <t>172</t>
        </is>
      </c>
      <c r="B170" s="5" t="inlineStr">
        <is>
          <t>8.4</t>
        </is>
      </c>
      <c r="C170" s="5" t="inlineStr">
        <is>
          <t>End-to-End Cross-Module Integration &amp; Contract Testing</t>
        </is>
      </c>
      <c r="D170" s="5" t="inlineStr">
        <is>
          <t>All</t>
        </is>
      </c>
      <c r="E170" s="5" t="inlineStr">
        <is>
          <t>ALL</t>
        </is>
      </c>
      <c r="F170" s="5" t="inlineStr">
        <is>
          <t>All Team Members</t>
        </is>
      </c>
      <c r="G170" s="5" t="inlineStr">
        <is>
          <t>Cross-Module / Shared Foundation</t>
        </is>
      </c>
      <c r="H170" s="5" t="inlineStr">
        <is>
          <t>Complex</t>
        </is>
      </c>
      <c r="I170" s="5" t="inlineStr">
        <is>
          <t>To do</t>
        </is>
      </c>
      <c r="J170" s="5" t="inlineStr">
        <is>
          <t>Branch origin/main; commits by team in docs, shared configs, reports</t>
        </is>
      </c>
      <c r="K170" s="5" t="inlineStr">
        <is>
          <t>Shared project documentation, architecture schemas, and requirement specifications</t>
        </is>
      </c>
      <c r="L170" s="5" t="inlineStr">
        <is>
          <t>Shared verification test suites (252 shared backend tests)</t>
        </is>
      </c>
      <c r="M170" s="8" t="inlineStr">
        <is>
          <t>MATCHED</t>
        </is>
      </c>
      <c r="N170" s="11" t="inlineStr">
        <is>
          <t>PARTIALLY_VERIFIED</t>
        </is>
      </c>
      <c r="O170" s="5" t="inlineStr">
        <is>
          <t>Verified as collaborative shared foundation task</t>
        </is>
      </c>
      <c r="P170" s="5" t="inlineStr">
        <is>
          <t>Official Plan Row 172 (Task_Project_G1_IS2005.xlsx)</t>
        </is>
      </c>
    </row>
    <row r="171" ht="20" customHeight="1">
      <c r="A171" s="6" t="inlineStr">
        <is>
          <t>173</t>
        </is>
      </c>
      <c r="B171" s="6" t="inlineStr">
        <is>
          <t>9</t>
        </is>
      </c>
      <c r="C171" s="6" t="inlineStr">
        <is>
          <t>System Testing &amp; Documentation</t>
        </is>
      </c>
      <c r="D171" s="6" t="inlineStr">
        <is>
          <t>UNASSIGNED</t>
        </is>
      </c>
      <c r="E171" s="6" t="inlineStr">
        <is>
          <t>UNASSIGNED</t>
        </is>
      </c>
      <c r="F171" s="6" t="inlineStr">
        <is>
          <t>Unassigned / Milestone Header</t>
        </is>
      </c>
      <c r="G171" s="6" t="inlineStr">
        <is>
          <t>Cross-Module</t>
        </is>
      </c>
      <c r="H171" s="6" t="inlineStr">
        <is>
          <t>Unspecified</t>
        </is>
      </c>
      <c r="I171" s="6" t="inlineStr">
        <is>
          <t>To do</t>
        </is>
      </c>
      <c r="J171" s="6" t="inlineStr">
        <is>
          <t>N/A (Milestone/Section Grouping Container)</t>
        </is>
      </c>
      <c r="K171" s="6" t="inlineStr">
        <is>
          <t>Organizational milestone or phase umbrella header</t>
        </is>
      </c>
      <c r="L171" s="6" t="inlineStr">
        <is>
          <t>N/A</t>
        </is>
      </c>
      <c r="M171" s="6" t="inlineStr">
        <is>
          <t>UNASSIGNED</t>
        </is>
      </c>
      <c r="N171" s="6" t="inlineStr">
        <is>
          <t>NOT_ASSESSABLE</t>
        </is>
      </c>
      <c r="O171" s="6" t="inlineStr">
        <is>
          <t>Milestone structure verified in planning baseline</t>
        </is>
      </c>
      <c r="P171" s="6" t="inlineStr">
        <is>
          <t>Official Plan Row 173 (Task_Project_G1_IS2005.xlsx)</t>
        </is>
      </c>
    </row>
    <row r="172" ht="20" customHeight="1">
      <c r="A172" s="5" t="inlineStr">
        <is>
          <t>174</t>
        </is>
      </c>
      <c r="B172" s="5" t="inlineStr">
        <is>
          <t>9.1</t>
        </is>
      </c>
      <c r="C172" s="5" t="inlineStr">
        <is>
          <t>Fix UI Bugs</t>
        </is>
      </c>
      <c r="D172" s="5" t="inlineStr">
        <is>
          <t>All</t>
        </is>
      </c>
      <c r="E172" s="5" t="inlineStr">
        <is>
          <t>ALL</t>
        </is>
      </c>
      <c r="F172" s="5" t="inlineStr">
        <is>
          <t>All Team Members</t>
        </is>
      </c>
      <c r="G172" s="5" t="inlineStr">
        <is>
          <t>Cross-Module / Shared Foundation</t>
        </is>
      </c>
      <c r="H172" s="5" t="inlineStr">
        <is>
          <t>Medium</t>
        </is>
      </c>
      <c r="I172" s="5" t="inlineStr">
        <is>
          <t>To do</t>
        </is>
      </c>
      <c r="J172" s="5" t="inlineStr">
        <is>
          <t>Branch origin/main; commits by team in docs, shared configs, reports</t>
        </is>
      </c>
      <c r="K172" s="5" t="inlineStr">
        <is>
          <t>Shared project documentation, architecture schemas, and requirement specifications</t>
        </is>
      </c>
      <c r="L172" s="5" t="inlineStr">
        <is>
          <t>Shared verification test suites (252 shared backend tests)</t>
        </is>
      </c>
      <c r="M172" s="8" t="inlineStr">
        <is>
          <t>MATCHED</t>
        </is>
      </c>
      <c r="N172" s="11" t="inlineStr">
        <is>
          <t>PARTIALLY_VERIFIED</t>
        </is>
      </c>
      <c r="O172" s="5" t="inlineStr">
        <is>
          <t>Verified as collaborative shared foundation task</t>
        </is>
      </c>
      <c r="P172" s="5" t="inlineStr">
        <is>
          <t>Official Plan Row 174 (Task_Project_G1_IS2005.xlsx)</t>
        </is>
      </c>
    </row>
    <row r="173" ht="20" customHeight="1">
      <c r="A173" s="6" t="inlineStr">
        <is>
          <t>175</t>
        </is>
      </c>
      <c r="B173" s="6" t="inlineStr">
        <is>
          <t>9.2</t>
        </is>
      </c>
      <c r="C173" s="6" t="inlineStr">
        <is>
          <t>Fix Backend / Integration / Security / Concurrency Bugs</t>
        </is>
      </c>
      <c r="D173" s="6" t="inlineStr">
        <is>
          <t>All</t>
        </is>
      </c>
      <c r="E173" s="6" t="inlineStr">
        <is>
          <t>ALL</t>
        </is>
      </c>
      <c r="F173" s="6" t="inlineStr">
        <is>
          <t>All Team Members</t>
        </is>
      </c>
      <c r="G173" s="6" t="inlineStr">
        <is>
          <t>Cross-Module / Shared Foundation</t>
        </is>
      </c>
      <c r="H173" s="6" t="inlineStr">
        <is>
          <t>Complex</t>
        </is>
      </c>
      <c r="I173" s="6" t="inlineStr">
        <is>
          <t>To do</t>
        </is>
      </c>
      <c r="J173" s="6" t="inlineStr">
        <is>
          <t>Branch origin/main; commits by team in docs, shared configs, reports</t>
        </is>
      </c>
      <c r="K173" s="6" t="inlineStr">
        <is>
          <t>Shared project documentation, architecture schemas, and requirement specifications</t>
        </is>
      </c>
      <c r="L173" s="6" t="inlineStr">
        <is>
          <t>Shared verification test suites (252 shared backend tests)</t>
        </is>
      </c>
      <c r="M173" s="8" t="inlineStr">
        <is>
          <t>MATCHED</t>
        </is>
      </c>
      <c r="N173" s="11" t="inlineStr">
        <is>
          <t>PARTIALLY_VERIFIED</t>
        </is>
      </c>
      <c r="O173" s="6" t="inlineStr">
        <is>
          <t>Verified as collaborative shared foundation task</t>
        </is>
      </c>
      <c r="P173" s="6" t="inlineStr">
        <is>
          <t>Official Plan Row 175 (Task_Project_G1_IS2005.xlsx)</t>
        </is>
      </c>
    </row>
    <row r="174" ht="20" customHeight="1">
      <c r="A174" s="5" t="inlineStr">
        <is>
          <t>176</t>
        </is>
      </c>
      <c r="B174" s="5" t="inlineStr">
        <is>
          <t>9.3</t>
        </is>
      </c>
      <c r="C174" s="5" t="inlineStr">
        <is>
          <t>Merge SRS/SDS: each member submits their own module's section</t>
        </is>
      </c>
      <c r="D174" s="5" t="inlineStr">
        <is>
          <t>All</t>
        </is>
      </c>
      <c r="E174" s="5" t="inlineStr">
        <is>
          <t>ALL</t>
        </is>
      </c>
      <c r="F174" s="5" t="inlineStr">
        <is>
          <t>All Team Members</t>
        </is>
      </c>
      <c r="G174" s="5" t="inlineStr">
        <is>
          <t>Cross-Module / Shared Foundation</t>
        </is>
      </c>
      <c r="H174" s="5" t="inlineStr">
        <is>
          <t>Complex</t>
        </is>
      </c>
      <c r="I174" s="5" t="inlineStr">
        <is>
          <t>To do</t>
        </is>
      </c>
      <c r="J174" s="5" t="inlineStr">
        <is>
          <t>Branch origin/main; commits by team in docs, shared configs, reports</t>
        </is>
      </c>
      <c r="K174" s="5" t="inlineStr">
        <is>
          <t>Shared project documentation, architecture schemas, and requirement specifications</t>
        </is>
      </c>
      <c r="L174" s="5" t="inlineStr">
        <is>
          <t>Shared verification test suites (252 shared backend tests)</t>
        </is>
      </c>
      <c r="M174" s="8" t="inlineStr">
        <is>
          <t>MATCHED</t>
        </is>
      </c>
      <c r="N174" s="11" t="inlineStr">
        <is>
          <t>PARTIALLY_VERIFIED</t>
        </is>
      </c>
      <c r="O174" s="5" t="inlineStr">
        <is>
          <t>Verified as collaborative shared foundation task</t>
        </is>
      </c>
      <c r="P174" s="5" t="inlineStr">
        <is>
          <t>Official Plan Row 176 (Task_Project_G1_IS2005.xlsx)</t>
        </is>
      </c>
    </row>
    <row r="175" ht="20" customHeight="1">
      <c r="A175" s="6" t="inlineStr">
        <is>
          <t>177</t>
        </is>
      </c>
      <c r="B175" s="6" t="inlineStr">
        <is>
          <t>9.4</t>
        </is>
      </c>
      <c r="C175" s="6" t="inlineStr">
        <is>
          <t>Prepare User Manual (each member writes their own module's section)</t>
        </is>
      </c>
      <c r="D175" s="6" t="inlineStr">
        <is>
          <t>All</t>
        </is>
      </c>
      <c r="E175" s="6" t="inlineStr">
        <is>
          <t>ALL</t>
        </is>
      </c>
      <c r="F175" s="6" t="inlineStr">
        <is>
          <t>All Team Members</t>
        </is>
      </c>
      <c r="G175" s="6" t="inlineStr">
        <is>
          <t>Cross-Module / Shared Foundation</t>
        </is>
      </c>
      <c r="H175" s="6" t="inlineStr">
        <is>
          <t>Medium</t>
        </is>
      </c>
      <c r="I175" s="6" t="inlineStr">
        <is>
          <t>To do</t>
        </is>
      </c>
      <c r="J175" s="6" t="inlineStr">
        <is>
          <t>Branch origin/main; commits by team in docs, shared configs, reports</t>
        </is>
      </c>
      <c r="K175" s="6" t="inlineStr">
        <is>
          <t>Shared project documentation, architecture schemas, and requirement specifications</t>
        </is>
      </c>
      <c r="L175" s="6" t="inlineStr">
        <is>
          <t>Shared verification test suites (252 shared backend tests)</t>
        </is>
      </c>
      <c r="M175" s="8" t="inlineStr">
        <is>
          <t>MATCHED</t>
        </is>
      </c>
      <c r="N175" s="11" t="inlineStr">
        <is>
          <t>PARTIALLY_VERIFIED</t>
        </is>
      </c>
      <c r="O175" s="6" t="inlineStr">
        <is>
          <t>Verified as collaborative shared foundation task</t>
        </is>
      </c>
      <c r="P175" s="6" t="inlineStr">
        <is>
          <t>Official Plan Row 177 (Task_Project_G1_IS2005.xlsx)</t>
        </is>
      </c>
    </row>
    <row r="176" ht="20" customHeight="1">
      <c r="A176" s="5" t="inlineStr">
        <is>
          <t>178</t>
        </is>
      </c>
      <c r="B176" s="5" t="inlineStr">
        <is>
          <t>10</t>
        </is>
      </c>
      <c r="C176" s="5" t="inlineStr">
        <is>
          <t>Final Presentation &amp; Closing</t>
        </is>
      </c>
      <c r="D176" s="5" t="inlineStr">
        <is>
          <t>UNASSIGNED</t>
        </is>
      </c>
      <c r="E176" s="5" t="inlineStr">
        <is>
          <t>UNASSIGNED</t>
        </is>
      </c>
      <c r="F176" s="5" t="inlineStr">
        <is>
          <t>Unassigned / Milestone Header</t>
        </is>
      </c>
      <c r="G176" s="5" t="inlineStr">
        <is>
          <t>Cross-Module</t>
        </is>
      </c>
      <c r="H176" s="5" t="inlineStr">
        <is>
          <t>Unspecified</t>
        </is>
      </c>
      <c r="I176" s="5" t="inlineStr">
        <is>
          <t>To do</t>
        </is>
      </c>
      <c r="J176" s="5" t="inlineStr">
        <is>
          <t>N/A (Milestone/Section Grouping Container)</t>
        </is>
      </c>
      <c r="K176" s="5" t="inlineStr">
        <is>
          <t>Organizational milestone or phase umbrella header</t>
        </is>
      </c>
      <c r="L176" s="5" t="inlineStr">
        <is>
          <t>N/A</t>
        </is>
      </c>
      <c r="M176" s="5" t="inlineStr">
        <is>
          <t>UNASSIGNED</t>
        </is>
      </c>
      <c r="N176" s="5" t="inlineStr">
        <is>
          <t>NOT_ASSESSABLE</t>
        </is>
      </c>
      <c r="O176" s="5" t="inlineStr">
        <is>
          <t>Milestone structure verified in planning baseline</t>
        </is>
      </c>
      <c r="P176" s="5" t="inlineStr">
        <is>
          <t>Official Plan Row 178 (Task_Project_G1_IS2005.xlsx)</t>
        </is>
      </c>
    </row>
    <row r="177" ht="20" customHeight="1">
      <c r="A177" s="6" t="inlineStr">
        <is>
          <t>179</t>
        </is>
      </c>
      <c r="B177" s="6" t="inlineStr">
        <is>
          <t>10.1</t>
        </is>
      </c>
      <c r="C177" s="6" t="inlineStr">
        <is>
          <t>Prepare Slides (each member presents their own module)</t>
        </is>
      </c>
      <c r="D177" s="6" t="inlineStr">
        <is>
          <t>All</t>
        </is>
      </c>
      <c r="E177" s="6" t="inlineStr">
        <is>
          <t>ALL</t>
        </is>
      </c>
      <c r="F177" s="6" t="inlineStr">
        <is>
          <t>All Team Members</t>
        </is>
      </c>
      <c r="G177" s="6" t="inlineStr">
        <is>
          <t>Cross-Module / Shared Foundation</t>
        </is>
      </c>
      <c r="H177" s="6" t="inlineStr">
        <is>
          <t>Simple</t>
        </is>
      </c>
      <c r="I177" s="6" t="inlineStr">
        <is>
          <t>To do</t>
        </is>
      </c>
      <c r="J177" s="6" t="inlineStr">
        <is>
          <t>Branch origin/main; commits by team in docs, shared configs, reports</t>
        </is>
      </c>
      <c r="K177" s="6" t="inlineStr">
        <is>
          <t>Shared project documentation, architecture schemas, and requirement specifications</t>
        </is>
      </c>
      <c r="L177" s="6" t="inlineStr">
        <is>
          <t>Shared verification test suites (252 shared backend tests)</t>
        </is>
      </c>
      <c r="M177" s="8" t="inlineStr">
        <is>
          <t>MATCHED</t>
        </is>
      </c>
      <c r="N177" s="11" t="inlineStr">
        <is>
          <t>PARTIALLY_VERIFIED</t>
        </is>
      </c>
      <c r="O177" s="6" t="inlineStr">
        <is>
          <t>Verified as collaborative shared foundation task</t>
        </is>
      </c>
      <c r="P177" s="6" t="inlineStr">
        <is>
          <t>Official Plan Row 179 (Task_Project_G1_IS2005.xlsx)</t>
        </is>
      </c>
    </row>
    <row r="178" ht="20" customHeight="1">
      <c r="A178" s="5" t="inlineStr">
        <is>
          <t>180</t>
        </is>
      </c>
      <c r="B178" s="5" t="inlineStr">
        <is>
          <t>10.2</t>
        </is>
      </c>
      <c r="C178" s="5" t="inlineStr">
        <is>
          <t>Rehearse Presentation</t>
        </is>
      </c>
      <c r="D178" s="5" t="inlineStr">
        <is>
          <t>All</t>
        </is>
      </c>
      <c r="E178" s="5" t="inlineStr">
        <is>
          <t>ALL</t>
        </is>
      </c>
      <c r="F178" s="5" t="inlineStr">
        <is>
          <t>All Team Members</t>
        </is>
      </c>
      <c r="G178" s="5" t="inlineStr">
        <is>
          <t>Cross-Module / Shared Foundation</t>
        </is>
      </c>
      <c r="H178" s="5" t="inlineStr">
        <is>
          <t>Medium</t>
        </is>
      </c>
      <c r="I178" s="5" t="inlineStr">
        <is>
          <t>To do</t>
        </is>
      </c>
      <c r="J178" s="5" t="inlineStr">
        <is>
          <t>Branch origin/main; commits by team in docs, shared configs, reports</t>
        </is>
      </c>
      <c r="K178" s="5" t="inlineStr">
        <is>
          <t>Shared project documentation, architecture schemas, and requirement specifications</t>
        </is>
      </c>
      <c r="L178" s="5" t="inlineStr">
        <is>
          <t>Shared verification test suites (252 shared backend tests)</t>
        </is>
      </c>
      <c r="M178" s="8" t="inlineStr">
        <is>
          <t>MATCHED</t>
        </is>
      </c>
      <c r="N178" s="11" t="inlineStr">
        <is>
          <t>PARTIALLY_VERIFIED</t>
        </is>
      </c>
      <c r="O178" s="5" t="inlineStr">
        <is>
          <t>Verified as collaborative shared foundation task</t>
        </is>
      </c>
      <c r="P178" s="5" t="inlineStr">
        <is>
          <t>Official Plan Row 180 (Task_Project_G1_IS2005.xlsx)</t>
        </is>
      </c>
    </row>
    <row r="179" ht="20" customHeight="1">
      <c r="A179" s="6" t="inlineStr">
        <is>
          <t>181</t>
        </is>
      </c>
      <c r="B179" s="6" t="inlineStr">
        <is>
          <t>10.3</t>
        </is>
      </c>
      <c r="C179" s="6" t="inlineStr">
        <is>
          <t>Demo System (all 6 modules + integration)</t>
        </is>
      </c>
      <c r="D179" s="6" t="inlineStr">
        <is>
          <t>All</t>
        </is>
      </c>
      <c r="E179" s="6" t="inlineStr">
        <is>
          <t>ALL</t>
        </is>
      </c>
      <c r="F179" s="6" t="inlineStr">
        <is>
          <t>All Team Members</t>
        </is>
      </c>
      <c r="G179" s="6" t="inlineStr">
        <is>
          <t>Cross-Module / Shared Foundation</t>
        </is>
      </c>
      <c r="H179" s="6" t="inlineStr">
        <is>
          <t>Complex</t>
        </is>
      </c>
      <c r="I179" s="6" t="inlineStr">
        <is>
          <t>To do</t>
        </is>
      </c>
      <c r="J179" s="6" t="inlineStr">
        <is>
          <t>Branch origin/main; commits by team in docs, shared configs, reports</t>
        </is>
      </c>
      <c r="K179" s="6" t="inlineStr">
        <is>
          <t>Shared project documentation, architecture schemas, and requirement specifications</t>
        </is>
      </c>
      <c r="L179" s="6" t="inlineStr">
        <is>
          <t>Shared verification test suites (252 shared backend tests)</t>
        </is>
      </c>
      <c r="M179" s="8" t="inlineStr">
        <is>
          <t>MATCHED</t>
        </is>
      </c>
      <c r="N179" s="11" t="inlineStr">
        <is>
          <t>PARTIALLY_VERIFIED</t>
        </is>
      </c>
      <c r="O179" s="6" t="inlineStr">
        <is>
          <t>Verified as collaborative shared foundation task</t>
        </is>
      </c>
      <c r="P179" s="6" t="inlineStr">
        <is>
          <t>Official Plan Row 181 (Task_Project_G1_IS2005.xlsx)</t>
        </is>
      </c>
    </row>
    <row r="180" ht="20" customHeight="1">
      <c r="A180" s="5" t="inlineStr">
        <is>
          <t>182</t>
        </is>
      </c>
      <c r="B180" s="5" t="inlineStr">
        <is>
          <t>10.4</t>
        </is>
      </c>
      <c r="C180" s="5" t="inlineStr">
        <is>
          <t>Submit Source Code &amp; Documents</t>
        </is>
      </c>
      <c r="D180" s="5" t="inlineStr">
        <is>
          <t>All</t>
        </is>
      </c>
      <c r="E180" s="5" t="inlineStr">
        <is>
          <t>ALL</t>
        </is>
      </c>
      <c r="F180" s="5" t="inlineStr">
        <is>
          <t>All Team Members</t>
        </is>
      </c>
      <c r="G180" s="5" t="inlineStr">
        <is>
          <t>Cross-Module / Shared Foundation</t>
        </is>
      </c>
      <c r="H180" s="5" t="inlineStr">
        <is>
          <t>Medium</t>
        </is>
      </c>
      <c r="I180" s="5" t="inlineStr">
        <is>
          <t>To do</t>
        </is>
      </c>
      <c r="J180" s="5" t="inlineStr">
        <is>
          <t>Branch origin/main; commits by team in docs, shared configs, reports</t>
        </is>
      </c>
      <c r="K180" s="5" t="inlineStr">
        <is>
          <t>Shared project documentation, architecture schemas, and requirement specifications</t>
        </is>
      </c>
      <c r="L180" s="5" t="inlineStr">
        <is>
          <t>Shared verification test suites (252 shared backend tests)</t>
        </is>
      </c>
      <c r="M180" s="8" t="inlineStr">
        <is>
          <t>MATCHED</t>
        </is>
      </c>
      <c r="N180" s="11" t="inlineStr">
        <is>
          <t>PARTIALLY_VERIFIED</t>
        </is>
      </c>
      <c r="O180" s="5" t="inlineStr">
        <is>
          <t>Verified as collaborative shared foundation task</t>
        </is>
      </c>
      <c r="P180" s="5" t="inlineStr">
        <is>
          <t>Official Plan Row 182 (Task_Project_G1_IS2005.xlsx)</t>
        </is>
      </c>
    </row>
    <row r="181" ht="20" customHeight="1">
      <c r="A181" s="6" t="inlineStr">
        <is>
          <t>183</t>
        </is>
      </c>
      <c r="B181" s="6" t="inlineStr">
        <is>
          <t>10.5</t>
        </is>
      </c>
      <c r="C181" s="6" t="inlineStr">
        <is>
          <t>Final Project Review</t>
        </is>
      </c>
      <c r="D181" s="6" t="inlineStr">
        <is>
          <t>All</t>
        </is>
      </c>
      <c r="E181" s="6" t="inlineStr">
        <is>
          <t>ALL</t>
        </is>
      </c>
      <c r="F181" s="6" t="inlineStr">
        <is>
          <t>All Team Members</t>
        </is>
      </c>
      <c r="G181" s="6" t="inlineStr">
        <is>
          <t>Cross-Module / Shared Foundation</t>
        </is>
      </c>
      <c r="H181" s="6" t="inlineStr">
        <is>
          <t>Medium</t>
        </is>
      </c>
      <c r="I181" s="6" t="inlineStr">
        <is>
          <t>To do</t>
        </is>
      </c>
      <c r="J181" s="6" t="inlineStr">
        <is>
          <t>Branch origin/main; commits by team in docs, shared configs, reports</t>
        </is>
      </c>
      <c r="K181" s="6" t="inlineStr">
        <is>
          <t>Shared project documentation, architecture schemas, and requirement specifications</t>
        </is>
      </c>
      <c r="L181" s="6" t="inlineStr">
        <is>
          <t>Shared verification test suites (252 shared backend tests)</t>
        </is>
      </c>
      <c r="M181" s="8" t="inlineStr">
        <is>
          <t>MATCHED</t>
        </is>
      </c>
      <c r="N181" s="11" t="inlineStr">
        <is>
          <t>PARTIALLY_VERIFIED</t>
        </is>
      </c>
      <c r="O181" s="6" t="inlineStr">
        <is>
          <t>Verified as collaborative shared foundation task</t>
        </is>
      </c>
      <c r="P181" s="6" t="inlineStr">
        <is>
          <t>Official Plan Row 183 (Task_Project_G1_IS2005.xlsx)</t>
        </is>
      </c>
    </row>
    <row r="182" ht="20" customHeight="1">
      <c r="A182" s="5" t="inlineStr">
        <is>
          <t>185</t>
        </is>
      </c>
      <c r="B182" s="5" t="inlineStr">
        <is>
          <t>NOTE (Footnote)</t>
        </is>
      </c>
      <c r="C182" s="5" t="inlineStr">
        <is>
          <t>Thực tế 11/11  là buổi học cuối của môn trước khi lên hội đồng</t>
        </is>
      </c>
      <c r="D182" s="5" t="inlineStr">
        <is>
          <t>UNASSIGNED (Planning Footnote)</t>
        </is>
      </c>
      <c r="E182" s="5" t="inlineStr">
        <is>
          <t>N/A</t>
        </is>
      </c>
      <c r="F182" s="5" t="inlineStr">
        <is>
          <t>Planning Footnote (Administrative Note)</t>
        </is>
      </c>
      <c r="G182" s="5" t="inlineStr">
        <is>
          <t>Planning Milestone / Footnote</t>
        </is>
      </c>
      <c r="H182" s="5" t="inlineStr">
        <is>
          <t>N/A</t>
        </is>
      </c>
      <c r="I182" s="5" t="inlineStr">
        <is>
          <t>NO_STATUS</t>
        </is>
      </c>
      <c r="J182" s="5" t="inlineStr">
        <is>
          <t>N/A (Administrative schedule note at bottom of Official Plan sheet)</t>
        </is>
      </c>
      <c r="K182" s="5" t="inlineStr">
        <is>
          <t>Not a functional deliverable; records academic course schedule deadline</t>
        </is>
      </c>
      <c r="L182" s="5" t="inlineStr">
        <is>
          <t>N/A</t>
        </is>
      </c>
      <c r="M182" s="5" t="inlineStr">
        <is>
          <t>PLANNING_FOOTNOTE</t>
        </is>
      </c>
      <c r="N182" s="5" t="inlineStr">
        <is>
          <t>NOT_ASSESSABLE</t>
        </is>
      </c>
      <c r="O182" s="5" t="inlineStr">
        <is>
          <t>Planning footnote in Official Plan row 185; not a functional WBS task. Explains the 180 functional WBS tasks (rows 4-183) vs 181 populated Excel rows.</t>
        </is>
      </c>
      <c r="P182" s="5" t="inlineStr">
        <is>
          <t>Official Plan Row 185 (Task_Project_G1_IS2005.xlsx)</t>
        </is>
      </c>
    </row>
  </sheetData>
  <autoFilter ref="A1:P1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5"/>
  <sheetViews>
    <sheetView showGridLines="1" workbookViewId="0">
      <pane ySplit="1" topLeftCell="A2" activePane="bottomLeft" state="frozen"/>
      <selection pane="bottomLeft" activeCell="A1" sqref="A1"/>
    </sheetView>
  </sheetViews>
  <sheetFormatPr baseColWidth="8" defaultRowHeight="15"/>
  <cols>
    <col width="18" customWidth="1" min="1" max="1"/>
    <col width="23" customWidth="1" min="2" max="2"/>
    <col width="24" customWidth="1" min="3" max="3"/>
    <col width="12" customWidth="1" min="4" max="4"/>
    <col width="20" customWidth="1" min="5" max="5"/>
    <col width="51" customWidth="1" min="6" max="6"/>
    <col width="52" customWidth="1" min="7" max="7"/>
    <col width="52" customWidth="1" min="8" max="8"/>
    <col width="52" customWidth="1" min="9" max="9"/>
    <col width="52" customWidth="1" min="10" max="10"/>
    <col width="22" customWidth="1" min="11" max="11"/>
    <col width="13" customWidth="1" min="12" max="12"/>
    <col width="52" customWidth="1" min="13" max="13"/>
    <col width="52" customWidth="1" min="14" max="14"/>
  </cols>
  <sheetData>
    <row r="1" ht="28" customHeight="1">
      <c r="A1" s="4" t="inlineStr">
        <is>
          <t>Contribution_ID</t>
        </is>
      </c>
      <c r="B1" s="4" t="inlineStr">
        <is>
          <t>Original_Person_Name</t>
        </is>
      </c>
      <c r="C1" s="4" t="inlineStr">
        <is>
          <t>Canonical_Person_Name</t>
        </is>
      </c>
      <c r="D1" s="4" t="inlineStr">
        <is>
          <t>Module</t>
        </is>
      </c>
      <c r="E1" s="4" t="inlineStr">
        <is>
          <t>Contribution_Type</t>
        </is>
      </c>
      <c r="F1" s="4" t="inlineStr">
        <is>
          <t>Feature_Task</t>
        </is>
      </c>
      <c r="G1" s="4" t="inlineStr">
        <is>
          <t>Commit_Or_PR</t>
        </is>
      </c>
      <c r="H1" s="4" t="inlineStr">
        <is>
          <t>Files_Changed</t>
        </is>
      </c>
      <c r="I1" s="4" t="inlineStr">
        <is>
          <t>Evidence_Location</t>
        </is>
      </c>
      <c r="J1" s="4" t="inlineStr">
        <is>
          <t>Outcome_Summary</t>
        </is>
      </c>
      <c r="K1" s="4" t="inlineStr">
        <is>
          <t>Verification_Status</t>
        </is>
      </c>
      <c r="L1" s="4" t="inlineStr">
        <is>
          <t>Confidence</t>
        </is>
      </c>
      <c r="M1" s="4" t="inlineStr">
        <is>
          <t>Runtime_Limitations</t>
        </is>
      </c>
      <c r="N1" s="4" t="inlineStr">
        <is>
          <t>Reconciliation_Notes</t>
        </is>
      </c>
    </row>
    <row r="2" ht="20" customHeight="1">
      <c r="A2" s="5" t="inlineStr">
        <is>
          <t>CONTRIB-01</t>
        </is>
      </c>
      <c r="B2" s="5" t="inlineStr">
        <is>
          <t>Lê Đức Hoàng</t>
        </is>
      </c>
      <c r="C2" s="5" t="inlineStr">
        <is>
          <t>Lê Đức Hoàng</t>
        </is>
      </c>
      <c r="D2" s="5" t="inlineStr">
        <is>
          <t>M1</t>
        </is>
      </c>
      <c r="E2" s="5" t="inlineStr">
        <is>
          <t>A</t>
        </is>
      </c>
      <c r="F2" s="5" t="inlineStr">
        <is>
          <t>Google SSO Integration</t>
        </is>
      </c>
      <c r="G2" s="5" t="inlineStr">
        <is>
          <t>ffdd40a</t>
        </is>
      </c>
      <c r="H2" s="5" t="inlineStr">
        <is>
          <t>SsoController.java; SsoService.java; SsoClientConfig.java</t>
        </is>
      </c>
      <c r="I2" s="5" t="inlineStr">
        <is>
          <t>Git commit ffdd40a; SsoAuthEndpointTests (14/14 pass)</t>
        </is>
      </c>
      <c r="J2" s="5" t="inlineStr">
        <is>
          <t>Implemented Google OAuth2 login and redirect handlers</t>
        </is>
      </c>
      <c r="K2" s="11" t="inlineStr">
        <is>
          <t>PARTIALLY_VERIFIED</t>
        </is>
      </c>
      <c r="L2" s="11" t="inlineStr">
        <is>
          <t>MEDIUM</t>
        </is>
      </c>
      <c r="M2" s="5" t="inlineStr">
        <is>
          <t>Mocked local slices pass; live third-party OAuth2 network handshakes require staging secrets (GAP-02 open)</t>
        </is>
      </c>
      <c r="N2" s="5" t="inlineStr">
        <is>
          <t>Mock flows tested; production credentials needed for live SSO</t>
        </is>
      </c>
    </row>
    <row r="3" ht="20" customHeight="1">
      <c r="A3" s="6" t="inlineStr">
        <is>
          <t>CONTRIB-02</t>
        </is>
      </c>
      <c r="B3" s="6" t="inlineStr">
        <is>
          <t>Lê Đức Hoàng</t>
        </is>
      </c>
      <c r="C3" s="6" t="inlineStr">
        <is>
          <t>Lê Đức Hoàng</t>
        </is>
      </c>
      <c r="D3" s="6" t="inlineStr">
        <is>
          <t>M1</t>
        </is>
      </c>
      <c r="E3" s="6" t="inlineStr">
        <is>
          <t>A</t>
        </is>
      </c>
      <c r="F3" s="6" t="inlineStr">
        <is>
          <t>Facebook SSO &amp; Ticket Linking</t>
        </is>
      </c>
      <c r="G3" s="6" t="inlineStr">
        <is>
          <t>4f2db9b</t>
        </is>
      </c>
      <c r="H3" s="6" t="inlineStr">
        <is>
          <t>SsoLinkRequest.java; SsoTicketService.java; SsoCallbackPage.tsx</t>
        </is>
      </c>
      <c r="I3" s="6" t="inlineStr">
        <is>
          <t>Git commit 4f2db9b; SsoTicketServiceTest (6/6 pass)</t>
        </is>
      </c>
      <c r="J3" s="6" t="inlineStr">
        <is>
          <t>Implemented Facebook SSO exchange and account linking tickets</t>
        </is>
      </c>
      <c r="K3" s="11" t="inlineStr">
        <is>
          <t>PARTIALLY_VERIFIED</t>
        </is>
      </c>
      <c r="L3" s="11" t="inlineStr">
        <is>
          <t>MEDIUM</t>
        </is>
      </c>
      <c r="M3" s="6" t="inlineStr">
        <is>
          <t>Mocked local slices pass; live third-party OAuth2 network handshakes require staging secrets (GAP-02 open)</t>
        </is>
      </c>
      <c r="N3" s="6" t="inlineStr">
        <is>
          <t>Merged into integration branch in commit 602c6f8</t>
        </is>
      </c>
    </row>
    <row r="4" ht="20" customHeight="1">
      <c r="A4" s="5" t="inlineStr">
        <is>
          <t>CONTRIB-03</t>
        </is>
      </c>
      <c r="B4" s="5" t="inlineStr">
        <is>
          <t>Lê Đức Hoàng</t>
        </is>
      </c>
      <c r="C4" s="5" t="inlineStr">
        <is>
          <t>Lê Đức Hoàng</t>
        </is>
      </c>
      <c r="D4" s="5" t="inlineStr">
        <is>
          <t>M1</t>
        </is>
      </c>
      <c r="E4" s="5" t="inlineStr">
        <is>
          <t>B</t>
        </is>
      </c>
      <c r="F4" s="5" t="inlineStr">
        <is>
          <t>Email OTP Registration Flow</t>
        </is>
      </c>
      <c r="G4" s="5" t="inlineStr">
        <is>
          <t>1dcc3b1; ca0383c</t>
        </is>
      </c>
      <c r="H4" s="5" t="inlineStr">
        <is>
          <t>EmailOtp.java; DevEmailDeliveryAdapter.java; RegisterPage.tsx</t>
        </is>
      </c>
      <c r="I4" s="5" t="inlineStr">
        <is>
          <t>Git commits 1dcc3b1 ca0383c; DevEmailDeliveryAdapterTest pass</t>
        </is>
      </c>
      <c r="J4" s="5" t="inlineStr">
        <is>
          <t>Implemented OTP generation email dispatch and registration verification</t>
        </is>
      </c>
      <c r="K4" s="11" t="inlineStr">
        <is>
          <t>PARTIALLY_VERIFIED</t>
        </is>
      </c>
      <c r="L4" s="11" t="inlineStr">
        <is>
          <t>MEDIUM</t>
        </is>
      </c>
      <c r="M4" s="5" t="inlineStr">
        <is>
          <t>OTP generation and verification logic fully tested; live SMTP delivery requires production credentials (GAP-08 open)</t>
        </is>
      </c>
      <c r="N4" s="5" t="inlineStr">
        <is>
          <t>Dev adapter logs OTP to console; SMTP adapter ready for production</t>
        </is>
      </c>
    </row>
    <row r="5" ht="20" customHeight="1">
      <c r="A5" s="6" t="inlineStr">
        <is>
          <t>CONTRIB-04</t>
        </is>
      </c>
      <c r="B5" s="6" t="inlineStr">
        <is>
          <t>Lê Đức Hoàng</t>
        </is>
      </c>
      <c r="C5" s="6" t="inlineStr">
        <is>
          <t>Lê Đức Hoàng</t>
        </is>
      </c>
      <c r="D5" s="6" t="inlineStr">
        <is>
          <t>M1</t>
        </is>
      </c>
      <c r="E5" s="6" t="inlineStr">
        <is>
          <t>B</t>
        </is>
      </c>
      <c r="F5" s="6" t="inlineStr">
        <is>
          <t>Customer &amp; Health Profile Management</t>
        </is>
      </c>
      <c r="G5" s="6" t="inlineStr">
        <is>
          <t>ff49668; 700bdd0</t>
        </is>
      </c>
      <c r="H5" s="6" t="inlineStr">
        <is>
          <t>CustomerProfileController.java; HealthProfileController.java</t>
        </is>
      </c>
      <c r="I5" s="6" t="inlineStr">
        <is>
          <t>Git commits ff49668 700bdd0; CustomerProfileControllerTests (8/8 pass)</t>
        </is>
      </c>
      <c r="J5" s="6" t="inlineStr">
        <is>
          <t>Implemented customer profile and medical intake management</t>
        </is>
      </c>
      <c r="K5" s="8" t="inlineStr">
        <is>
          <t>VERIFIED</t>
        </is>
      </c>
      <c r="L5" s="8" t="inlineStr">
        <is>
          <t>HIGH</t>
        </is>
      </c>
      <c r="M5" s="6" t="inlineStr">
        <is>
          <t>Local tests passing in H2 MSSQLServer mode</t>
        </is>
      </c>
      <c r="N5" s="6" t="inlineStr">
        <is>
          <t>Persists dietary allergies and emergency contact details</t>
        </is>
      </c>
    </row>
    <row r="6" ht="20" customHeight="1">
      <c r="A6" s="5" t="inlineStr">
        <is>
          <t>CONTRIB-05</t>
        </is>
      </c>
      <c r="B6" s="5" t="inlineStr">
        <is>
          <t>Lê Đức Hoàng</t>
        </is>
      </c>
      <c r="C6" s="5" t="inlineStr">
        <is>
          <t>Lê Đức Hoàng</t>
        </is>
      </c>
      <c r="D6" s="5" t="inlineStr">
        <is>
          <t>M1</t>
        </is>
      </c>
      <c r="E6" s="5" t="inlineStr">
        <is>
          <t>B</t>
        </is>
      </c>
      <c r="F6" s="5" t="inlineStr">
        <is>
          <t>GDPR Health Data Deletion Request (Screen #9)</t>
        </is>
      </c>
      <c r="G6" s="5" t="inlineStr">
        <is>
          <t>bc9100a</t>
        </is>
      </c>
      <c r="H6" s="5" t="inlineStr">
        <is>
          <t>HealthDataDeletionRequestController.java; HealthDataDeletionPage.tsx</t>
        </is>
      </c>
      <c r="I6" s="5" t="inlineStr">
        <is>
          <t>Git commit bc9100a; HealthDataDeletionRequestServiceTest pass</t>
        </is>
      </c>
      <c r="J6" s="5" t="inlineStr">
        <is>
          <t>Implemented GDPR right-to-be-forgotten deletion request workflow</t>
        </is>
      </c>
      <c r="K6" s="8" t="inlineStr">
        <is>
          <t>VERIFIED</t>
        </is>
      </c>
      <c r="L6" s="8" t="inlineStr">
        <is>
          <t>HIGH</t>
        </is>
      </c>
      <c r="M6" s="5" t="inlineStr">
        <is>
          <t>Local tests passing in H2 MSSQLServer mode</t>
        </is>
      </c>
      <c r="N6" s="5" t="inlineStr">
        <is>
          <t>Provides audit trail for health record removal</t>
        </is>
      </c>
    </row>
    <row r="7" ht="20" customHeight="1">
      <c r="A7" s="6" t="inlineStr">
        <is>
          <t>CONTRIB-06</t>
        </is>
      </c>
      <c r="B7" s="6" t="inlineStr">
        <is>
          <t>Lê Đức Hoàng</t>
        </is>
      </c>
      <c r="C7" s="6" t="inlineStr">
        <is>
          <t>Lê Đức Hoàng</t>
        </is>
      </c>
      <c r="D7" s="6" t="inlineStr">
        <is>
          <t>M1</t>
        </is>
      </c>
      <c r="E7" s="6" t="inlineStr">
        <is>
          <t>E</t>
        </is>
      </c>
      <c r="F7" s="6" t="inlineStr">
        <is>
          <t>M1 Identity &amp; Access Test Suite</t>
        </is>
      </c>
      <c r="G7" s="6" t="inlineStr">
        <is>
          <t>1d9750e</t>
        </is>
      </c>
      <c r="H7" s="6" t="inlineStr">
        <is>
          <t>AuthServiceTest.java; SsoAuthEndpointTests.java; AccountLockoutIntegrationTest.java</t>
        </is>
      </c>
      <c r="I7" s="6" t="inlineStr">
        <is>
          <t>Git commits; 77 passing M1 backend tests</t>
        </is>
      </c>
      <c r="J7" s="6" t="inlineStr">
        <is>
          <t>Authored comprehensive test suites for authentication and security</t>
        </is>
      </c>
      <c r="K7" s="8" t="inlineStr">
        <is>
          <t>VERIFIED</t>
        </is>
      </c>
      <c r="L7" s="8" t="inlineStr">
        <is>
          <t>HIGH</t>
        </is>
      </c>
      <c r="M7" s="6" t="inlineStr">
        <is>
          <t>Local tests passing in H2 MSSQLServer mode</t>
        </is>
      </c>
      <c r="N7" s="6" t="inlineStr">
        <is>
          <t>All 77 M1 tests pass cleanly in test suite</t>
        </is>
      </c>
    </row>
    <row r="8" ht="20" customHeight="1">
      <c r="A8" s="5" t="inlineStr">
        <is>
          <t>CONTRIB-07</t>
        </is>
      </c>
      <c r="B8" s="5" t="inlineStr">
        <is>
          <t>Lê Đức Hoàng</t>
        </is>
      </c>
      <c r="C8" s="5" t="inlineStr">
        <is>
          <t>Lê Đức Hoàng</t>
        </is>
      </c>
      <c r="D8" s="5" t="inlineStr">
        <is>
          <t>M1</t>
        </is>
      </c>
      <c r="E8" s="5" t="inlineStr">
        <is>
          <t>J</t>
        </is>
      </c>
      <c r="F8" s="5" t="inlineStr">
        <is>
          <t>M1 Architecture Documentation &amp; Handoff</t>
        </is>
      </c>
      <c r="G8" s="5" t="inlineStr">
        <is>
          <t>a3f82d9; 1d9750e</t>
        </is>
      </c>
      <c r="H8" s="5" t="inlineStr">
        <is>
          <t>M1_HANDOFF_CONTEXT.md; M1_Phase1_Audit.md; M1_Phase2_Plan.md</t>
        </is>
      </c>
      <c r="I8" s="5" t="inlineStr">
        <is>
          <t>Repository markdown files; commit metadata</t>
        </is>
      </c>
      <c r="J8" s="5" t="inlineStr">
        <is>
          <t>Detailed handoff context and migration preflight specifications</t>
        </is>
      </c>
      <c r="K8" s="8" t="inlineStr">
        <is>
          <t>VERIFIED</t>
        </is>
      </c>
      <c r="L8" s="8" t="inlineStr">
        <is>
          <t>HIGH</t>
        </is>
      </c>
      <c r="M8" s="5" t="inlineStr">
        <is>
          <t>Local tests passing in H2 MSSQLServer mode</t>
        </is>
      </c>
      <c r="N8" s="5" t="inlineStr">
        <is>
          <t>Clear documentation of M1 architecture and contract boundaries</t>
        </is>
      </c>
    </row>
    <row r="9" ht="20" customHeight="1">
      <c r="A9" s="6" t="inlineStr">
        <is>
          <t>CONTRIB-08</t>
        </is>
      </c>
      <c r="B9" s="6" t="inlineStr">
        <is>
          <t>Nguyễn Gia Đạt</t>
        </is>
      </c>
      <c r="C9" s="6" t="inlineStr">
        <is>
          <t>Nguyễn Gia Đạt</t>
        </is>
      </c>
      <c r="D9" s="6" t="inlineStr">
        <is>
          <t>M2</t>
        </is>
      </c>
      <c r="E9" s="6" t="inlineStr">
        <is>
          <t>B</t>
        </is>
      </c>
      <c r="F9" s="6" t="inlineStr">
        <is>
          <t>Receptionist Operations Backend</t>
        </is>
      </c>
      <c r="G9" s="6" t="inlineStr">
        <is>
          <t>4bd4ecd</t>
        </is>
      </c>
      <c r="H9" s="6" t="inlineStr">
        <is>
          <t>ReceptionistOperationController.java; ReceptionistOperationService.java</t>
        </is>
      </c>
      <c r="I9" s="6" t="inlineStr">
        <is>
          <t>Git commit 4bd4ecd; ReceptionistOperationServiceTest (5/5 pass)</t>
        </is>
      </c>
      <c r="J9" s="6" t="inlineStr">
        <is>
          <t>Implemented daily arrival check-in walk-in booking and room assignment</t>
        </is>
      </c>
      <c r="K9" s="8" t="inlineStr">
        <is>
          <t>VERIFIED</t>
        </is>
      </c>
      <c r="L9" s="8" t="inlineStr">
        <is>
          <t>HIGH</t>
        </is>
      </c>
      <c r="M9" s="6" t="inlineStr">
        <is>
          <t>Local tests passing in H2 MSSQLServer mode</t>
        </is>
      </c>
      <c r="N9" s="6" t="inlineStr">
        <is>
          <t>Integrated into baseline in commit 0f257ad</t>
        </is>
      </c>
    </row>
    <row r="10" ht="20" customHeight="1">
      <c r="A10" s="5" t="inlineStr">
        <is>
          <t>CONTRIB-09</t>
        </is>
      </c>
      <c r="B10" s="5" t="inlineStr">
        <is>
          <t>Nguyễn Gia Đạt</t>
        </is>
      </c>
      <c r="C10" s="5" t="inlineStr">
        <is>
          <t>Nguyễn Gia Đạt</t>
        </is>
      </c>
      <c r="D10" s="5" t="inlineStr">
        <is>
          <t>M2</t>
        </is>
      </c>
      <c r="E10" s="5" t="inlineStr">
        <is>
          <t>B</t>
        </is>
      </c>
      <c r="F10" s="5" t="inlineStr">
        <is>
          <t>Retreat Booking Creation &amp; Pricing</t>
        </is>
      </c>
      <c r="G10" s="5" t="inlineStr">
        <is>
          <t>4bd4ecd</t>
        </is>
      </c>
      <c r="H10" s="5" t="inlineStr">
        <is>
          <t>RetreatBookingController.java; RetreatBookingService.java; BookingPolicyService.java</t>
        </is>
      </c>
      <c r="I10" s="5" t="inlineStr">
        <is>
          <t>Git commit 4bd4ecd; RetreatBookingServiceTest pass</t>
        </is>
      </c>
      <c r="J10" s="5" t="inlineStr">
        <is>
          <t>Implemented retreat reservation pricing deposit and inventory checks</t>
        </is>
      </c>
      <c r="K10" s="8" t="inlineStr">
        <is>
          <t>VERIFIED</t>
        </is>
      </c>
      <c r="L10" s="8" t="inlineStr">
        <is>
          <t>HIGH</t>
        </is>
      </c>
      <c r="M10" s="5" t="inlineStr">
        <is>
          <t>Local tests passing in H2 MSSQLServer mode</t>
        </is>
      </c>
      <c r="N10" s="5" t="inlineStr">
        <is>
          <t>Integrated into baseline in commit 0f257ad</t>
        </is>
      </c>
    </row>
    <row r="11" ht="20" customHeight="1">
      <c r="A11" s="6" t="inlineStr">
        <is>
          <t>CONTRIB-10</t>
        </is>
      </c>
      <c r="B11" s="6" t="inlineStr">
        <is>
          <t>Nguyễn Gia Đạt</t>
        </is>
      </c>
      <c r="C11" s="6" t="inlineStr">
        <is>
          <t>Nguyễn Gia Đạt</t>
        </is>
      </c>
      <c r="D11" s="6" t="inlineStr">
        <is>
          <t>M2</t>
        </is>
      </c>
      <c r="E11" s="6" t="inlineStr">
        <is>
          <t>B</t>
        </is>
      </c>
      <c r="F11" s="6" t="inlineStr">
        <is>
          <t>VNPay Deposit Gateway Integration</t>
        </is>
      </c>
      <c r="G11" s="6" t="inlineStr">
        <is>
          <t>4bd4ecd</t>
        </is>
      </c>
      <c r="H11" s="6" t="inlineStr">
        <is>
          <t>VNPayDepositService.java; VNPayCallbackController.java</t>
        </is>
      </c>
      <c r="I11" s="6" t="inlineStr">
        <is>
          <t>Git commit 4bd4ecd; VNPayDepositServiceTest pass</t>
        </is>
      </c>
      <c r="J11" s="6" t="inlineStr">
        <is>
          <t>Implemented VNPay HMAC-SHA512 deposit payment URL generation and callback</t>
        </is>
      </c>
      <c r="K11" s="11" t="inlineStr">
        <is>
          <t>PARTIALLY_VERIFIED</t>
        </is>
      </c>
      <c r="L11" s="11" t="inlineStr">
        <is>
          <t>MEDIUM</t>
        </is>
      </c>
      <c r="M11" s="6" t="inlineStr">
        <is>
          <t>Checksum hash algorithm verified; live VNPay IPN webhook callbacks require staging gateway (GAP-01 open)</t>
        </is>
      </c>
      <c r="N11" s="6" t="inlineStr">
        <is>
          <t>Integrated into baseline in commit 0f257ad; live gateway unverified</t>
        </is>
      </c>
    </row>
    <row r="12" ht="20" customHeight="1">
      <c r="A12" s="5" t="inlineStr">
        <is>
          <t>CONTRIB-11</t>
        </is>
      </c>
      <c r="B12" s="5" t="inlineStr">
        <is>
          <t>Nguyễn Gia Đạt</t>
        </is>
      </c>
      <c r="C12" s="5" t="inlineStr">
        <is>
          <t>Nguyễn Gia Đạt</t>
        </is>
      </c>
      <c r="D12" s="5" t="inlineStr">
        <is>
          <t>M2</t>
        </is>
      </c>
      <c r="E12" s="5" t="inlineStr">
        <is>
          <t>B</t>
        </is>
      </c>
      <c r="F12" s="5" t="inlineStr">
        <is>
          <t>Customer Identity &amp; Stay Adapter</t>
        </is>
      </c>
      <c r="G12" s="5" t="inlineStr">
        <is>
          <t>4bd4ecd</t>
        </is>
      </c>
      <c r="H12" s="5" t="inlineStr">
        <is>
          <t>CustomerIdentityPort.java; JdbcCustomerIdentityAdapter.java</t>
        </is>
      </c>
      <c r="I12" s="5" t="inlineStr">
        <is>
          <t>Git commit 4bd4ecd; M2SchemaCompatibilityTest pass</t>
        </is>
      </c>
      <c r="J12" s="5" t="inlineStr">
        <is>
          <t>Implemented customer profile resolution across booking operations</t>
        </is>
      </c>
      <c r="K12" s="8" t="inlineStr">
        <is>
          <t>VERIFIED</t>
        </is>
      </c>
      <c r="L12" s="8" t="inlineStr">
        <is>
          <t>HIGH</t>
        </is>
      </c>
      <c r="M12" s="5" t="inlineStr">
        <is>
          <t>Local tests passing in H2 MSSQLServer mode</t>
        </is>
      </c>
      <c r="N12" s="5" t="inlineStr">
        <is>
          <t>Bridges M1 customer identity with M2 booking records</t>
        </is>
      </c>
    </row>
    <row r="13" ht="20" customHeight="1">
      <c r="A13" s="6" t="inlineStr">
        <is>
          <t>CONTRIB-12</t>
        </is>
      </c>
      <c r="B13" s="6" t="inlineStr">
        <is>
          <t>Nguyễn Gia Đạt</t>
        </is>
      </c>
      <c r="C13" s="6" t="inlineStr">
        <is>
          <t>Nguyễn Gia Đạt</t>
        </is>
      </c>
      <c r="D13" s="6" t="inlineStr">
        <is>
          <t>M2</t>
        </is>
      </c>
      <c r="E13" s="6" t="inlineStr">
        <is>
          <t>C</t>
        </is>
      </c>
      <c r="F13" s="6" t="inlineStr">
        <is>
          <t>Receptionist &amp; Booking Frontend API Client</t>
        </is>
      </c>
      <c r="G13" s="6" t="inlineStr">
        <is>
          <t>4bd4ecd</t>
        </is>
      </c>
      <c r="H13" s="6" t="inlineStr">
        <is>
          <t>retreatBookingApi.ts; ReceptionistBookingsPage.tsx; CustomerContext.tsx</t>
        </is>
      </c>
      <c r="I13" s="6" t="inlineStr">
        <is>
          <t>Git commit 4bd4ecd; TypeScript build (0 errors)</t>
        </is>
      </c>
      <c r="J13" s="6" t="inlineStr">
        <is>
          <t>Implemented TypeScript API client and receptionist booking table UI</t>
        </is>
      </c>
      <c r="K13" s="8" t="inlineStr">
        <is>
          <t>VERIFIED</t>
        </is>
      </c>
      <c r="L13" s="8" t="inlineStr">
        <is>
          <t>HIGH</t>
        </is>
      </c>
      <c r="M13" s="6" t="inlineStr">
        <is>
          <t>Local tests passing in H2 MSSQLServer mode</t>
        </is>
      </c>
      <c r="N13" s="6" t="inlineStr">
        <is>
          <t>Integrated into baseline in commit 0f257ad</t>
        </is>
      </c>
    </row>
    <row r="14" ht="20" customHeight="1">
      <c r="A14" s="5" t="inlineStr">
        <is>
          <t>CONTRIB-13</t>
        </is>
      </c>
      <c r="B14" s="5" t="inlineStr">
        <is>
          <t>Nguyễn Gia Đạt</t>
        </is>
      </c>
      <c r="C14" s="5" t="inlineStr">
        <is>
          <t>Nguyễn Gia Đạt</t>
        </is>
      </c>
      <c r="D14" s="5" t="inlineStr">
        <is>
          <t>M2</t>
        </is>
      </c>
      <c r="E14" s="5" t="inlineStr">
        <is>
          <t>D</t>
        </is>
      </c>
      <c r="F14" s="5" t="inlineStr">
        <is>
          <t>M2 Database Seed Scripts &amp; Encoding Fixes</t>
        </is>
      </c>
      <c r="G14" s="5" t="inlineStr">
        <is>
          <t>1619ebe; d173542; d2d36de</t>
        </is>
      </c>
      <c r="H14" s="5" t="inlineStr">
        <is>
          <t>V1_5__seed_demo_users.sql; V1_6__seed_package_villa_category_mapping.sql</t>
        </is>
      </c>
      <c r="I14" s="5" t="inlineStr">
        <is>
          <t>Git commits 1619ebe d173542 d2d36de; seed files in repo</t>
        </is>
      </c>
      <c r="J14" s="5" t="inlineStr">
        <is>
          <t>Added demo users package mappings and UTF-8 script repairs</t>
        </is>
      </c>
      <c r="K14" s="8" t="inlineStr">
        <is>
          <t>VERIFIED</t>
        </is>
      </c>
      <c r="L14" s="8" t="inlineStr">
        <is>
          <t>HIGH</t>
        </is>
      </c>
      <c r="M14" s="5" t="inlineStr">
        <is>
          <t>Local tests passing in H2 MSSQLServer mode</t>
        </is>
      </c>
      <c r="N14" s="5" t="inlineStr">
        <is>
          <t>Excluded raw schema.sql overwrite during selective integration</t>
        </is>
      </c>
    </row>
    <row r="15" ht="20" customHeight="1">
      <c r="A15" s="6" t="inlineStr">
        <is>
          <t>CONTRIB-14</t>
        </is>
      </c>
      <c r="B15" s="6" t="inlineStr">
        <is>
          <t>Nguyễn Gia Đạt</t>
        </is>
      </c>
      <c r="C15" s="6" t="inlineStr">
        <is>
          <t>Nguyễn Gia Đạt</t>
        </is>
      </c>
      <c r="D15" s="6" t="inlineStr">
        <is>
          <t>M2</t>
        </is>
      </c>
      <c r="E15" s="6" t="inlineStr">
        <is>
          <t>F</t>
        </is>
      </c>
      <c r="F15" s="6" t="inlineStr">
        <is>
          <t>Customer Information Persistence Bug Fixes</t>
        </is>
      </c>
      <c r="G15" s="6" t="inlineStr">
        <is>
          <t>52a6bd9; aacfd2f</t>
        </is>
      </c>
      <c r="H15" s="6" t="inlineStr">
        <is>
          <t>RetreatBookingService.java; ReceptionistOperationService.java</t>
        </is>
      </c>
      <c r="I15" s="6" t="inlineStr">
        <is>
          <t>Git commits 52a6bd9 aacfd2f; test suite pass</t>
        </is>
      </c>
      <c r="J15" s="6" t="inlineStr">
        <is>
          <t>Fixed customer info saving bug and receptionist booking history query</t>
        </is>
      </c>
      <c r="K15" s="8" t="inlineStr">
        <is>
          <t>VERIFIED</t>
        </is>
      </c>
      <c r="L15" s="8" t="inlineStr">
        <is>
          <t>HIGH</t>
        </is>
      </c>
      <c r="M15" s="6" t="inlineStr">
        <is>
          <t>Local tests passing in H2 MSSQLServer mode</t>
        </is>
      </c>
      <c r="N15" s="6" t="inlineStr">
        <is>
          <t>Resolved critical persistence blocker on dat-nguyen-gia</t>
        </is>
      </c>
    </row>
    <row r="16" ht="20" customHeight="1">
      <c r="A16" s="5" t="inlineStr">
        <is>
          <t>CONTRIB-15</t>
        </is>
      </c>
      <c r="B16" s="5" t="inlineStr">
        <is>
          <t>Nguyễn Tất Đạt</t>
        </is>
      </c>
      <c r="C16" s="5" t="inlineStr">
        <is>
          <t>Nguyễn Tất Đạt</t>
        </is>
      </c>
      <c r="D16" s="5" t="inlineStr">
        <is>
          <t>INFRA</t>
        </is>
      </c>
      <c r="E16" s="5" t="inlineStr">
        <is>
          <t>K</t>
        </is>
      </c>
      <c r="F16" s="5" t="inlineStr">
        <is>
          <t>Initial Project Setup &amp; GitLab Environment</t>
        </is>
      </c>
      <c r="G16" s="5" t="inlineStr">
        <is>
          <t>1.1; 1.2</t>
        </is>
      </c>
      <c r="H16" s="5" t="inlineStr">
        <is>
          <t>GitLab repository; .gitignore; pom.xml; Task_Project_G1_IS2005.csv</t>
        </is>
      </c>
      <c r="I16" s="5" t="inlineStr">
        <is>
          <t>Task plan; initial commits; GitLab configuration</t>
        </is>
      </c>
      <c r="J16" s="5" t="inlineStr">
        <is>
          <t>Established project repository branching strategy and project tracking plan</t>
        </is>
      </c>
      <c r="K16" s="8" t="inlineStr">
        <is>
          <t>VERIFIED</t>
        </is>
      </c>
      <c r="L16" s="8" t="inlineStr">
        <is>
          <t>HIGH</t>
        </is>
      </c>
      <c r="M16" s="5" t="inlineStr">
        <is>
          <t>Local tests passing in H2 MSSQLServer mode</t>
        </is>
      </c>
      <c r="N16" s="5" t="inlineStr">
        <is>
          <t>Project Technical Lead role</t>
        </is>
      </c>
    </row>
    <row r="17" ht="20" customHeight="1">
      <c r="A17" s="6" t="inlineStr">
        <is>
          <t>CONTRIB-16</t>
        </is>
      </c>
      <c r="B17" s="6" t="inlineStr">
        <is>
          <t>Nguyễn Tất Đạt</t>
        </is>
      </c>
      <c r="C17" s="6" t="inlineStr">
        <is>
          <t>Nguyễn Tất Đạt</t>
        </is>
      </c>
      <c r="D17" s="6" t="inlineStr">
        <is>
          <t>INFRA</t>
        </is>
      </c>
      <c r="E17" s="6" t="inlineStr">
        <is>
          <t>C</t>
        </is>
      </c>
      <c r="F17" s="6" t="inlineStr">
        <is>
          <t>Shared Design Tokens Branding &amp; Global Layouts</t>
        </is>
      </c>
      <c r="G17" s="6" t="inlineStr">
        <is>
          <t>582cab3; b88291d; cf1600e; d9c73f2; 2e02921; 7fb4b51</t>
        </is>
      </c>
      <c r="H17" s="6" t="inlineStr">
        <is>
          <t>PublicLayout.tsx; CustomerLayout.tsx; OperationalLayout.tsx; tokens.css</t>
        </is>
      </c>
      <c r="I17" s="6" t="inlineStr">
        <is>
          <t>Git commits 582cab3 b88291d cf1600e; 2728 transformed modules</t>
        </is>
      </c>
      <c r="J17" s="6" t="inlineStr">
        <is>
          <t>Established unified design tokens responsive layouts and branding</t>
        </is>
      </c>
      <c r="K17" s="8" t="inlineStr">
        <is>
          <t>VERIFIED</t>
        </is>
      </c>
      <c r="L17" s="8" t="inlineStr">
        <is>
          <t>HIGH</t>
        </is>
      </c>
      <c r="M17" s="6" t="inlineStr">
        <is>
          <t>Local tests passing in H2 MSSQLServer mode</t>
        </is>
      </c>
      <c r="N17" s="6" t="inlineStr">
        <is>
          <t>Ensured UI consistency across customer receptionist and staff views</t>
        </is>
      </c>
    </row>
    <row r="18" ht="20" customHeight="1">
      <c r="A18" s="5" t="inlineStr">
        <is>
          <t>CONTRIB-17</t>
        </is>
      </c>
      <c r="B18" s="5" t="inlineStr">
        <is>
          <t>Nguyễn Tất Đạt</t>
        </is>
      </c>
      <c r="C18" s="5" t="inlineStr">
        <is>
          <t>Nguyễn Tất Đạt</t>
        </is>
      </c>
      <c r="D18" s="5" t="inlineStr">
        <is>
          <t>M3</t>
        </is>
      </c>
      <c r="E18" s="5" t="inlineStr">
        <is>
          <t>B</t>
        </is>
      </c>
      <c r="F18" s="5" t="inlineStr">
        <is>
          <t>Spa Scheduling Backend &amp; Business Rules</t>
        </is>
      </c>
      <c r="G18" s="5" t="inlineStr">
        <is>
          <t>ff9f44b</t>
        </is>
      </c>
      <c r="H18" s="5" t="inlineStr">
        <is>
          <t>SpaService.java; SpaBookingController.java; TherapistController.java</t>
        </is>
      </c>
      <c r="I18" s="5" t="inlineStr">
        <is>
          <t>Git commit ff9f44b; SpaServiceTests (12/12 pass)</t>
        </is>
      </c>
      <c r="J18" s="5" t="inlineStr">
        <is>
          <t>Implemented treatment scheduling therapist assignment and conflict resolution</t>
        </is>
      </c>
      <c r="K18" s="8" t="inlineStr">
        <is>
          <t>VERIFIED</t>
        </is>
      </c>
      <c r="L18" s="8" t="inlineStr">
        <is>
          <t>HIGH</t>
        </is>
      </c>
      <c r="M18" s="5" t="inlineStr">
        <is>
          <t>Local tests passing in H2 MSSQLServer mode</t>
        </is>
      </c>
      <c r="N18" s="5" t="inlineStr">
        <is>
          <t>Core Module 3 backend implementation</t>
        </is>
      </c>
    </row>
    <row r="19" ht="20" customHeight="1">
      <c r="A19" s="6" t="inlineStr">
        <is>
          <t>CONTRIB-18</t>
        </is>
      </c>
      <c r="B19" s="6" t="inlineStr">
        <is>
          <t>Nguyễn Tất Đạt</t>
        </is>
      </c>
      <c r="C19" s="6" t="inlineStr">
        <is>
          <t>Nguyễn Tất Đạt</t>
        </is>
      </c>
      <c r="D19" s="6" t="inlineStr">
        <is>
          <t>M3</t>
        </is>
      </c>
      <c r="E19" s="6" t="inlineStr">
        <is>
          <t>C</t>
        </is>
      </c>
      <c r="F19" s="6" t="inlineStr">
        <is>
          <t>Spa Booking &amp; Therapist Scheduling Frontend</t>
        </is>
      </c>
      <c r="G19" s="6" t="inlineStr">
        <is>
          <t>81bb091</t>
        </is>
      </c>
      <c r="H19" s="6" t="inlineStr">
        <is>
          <t>SpaBookingPage.tsx; SpaAlternativeSlotsPage.tsx; TherapistSchedulePage.tsx</t>
        </is>
      </c>
      <c r="I19" s="6" t="inlineStr">
        <is>
          <t>Git commit 81bb091; AppRouter mappings</t>
        </is>
      </c>
      <c r="J19" s="6" t="inlineStr">
        <is>
          <t>Implemented customer spa booking flow and therapist schedule management</t>
        </is>
      </c>
      <c r="K19" s="8" t="inlineStr">
        <is>
          <t>VERIFIED</t>
        </is>
      </c>
      <c r="L19" s="8" t="inlineStr">
        <is>
          <t>HIGH</t>
        </is>
      </c>
      <c r="M19" s="6" t="inlineStr">
        <is>
          <t>Local tests passing in H2 MSSQLServer mode</t>
        </is>
      </c>
      <c r="N19" s="6" t="inlineStr">
        <is>
          <t>Integrated with global theme and operational sidebar</t>
        </is>
      </c>
    </row>
    <row r="20" ht="20" customHeight="1">
      <c r="A20" s="5" t="inlineStr">
        <is>
          <t>CONTRIB-19</t>
        </is>
      </c>
      <c r="B20" s="5" t="inlineStr">
        <is>
          <t>Nguyễn Tất Đạt</t>
        </is>
      </c>
      <c r="C20" s="5" t="inlineStr">
        <is>
          <t>Nguyễn Tất Đạt</t>
        </is>
      </c>
      <c r="D20" s="5" t="inlineStr">
        <is>
          <t>INFRA</t>
        </is>
      </c>
      <c r="E20" s="5" t="inlineStr">
        <is>
          <t>B</t>
        </is>
      </c>
      <c r="F20" s="5" t="inlineStr">
        <is>
          <t>Cross-Module Customer Stay Port Adapter</t>
        </is>
      </c>
      <c r="G20" s="5" t="inlineStr">
        <is>
          <t>d0a17db; 1f7ebc1</t>
        </is>
      </c>
      <c r="H20" s="5" t="inlineStr">
        <is>
          <t>CustomerStayPort.java; DefaultCustomerStayAdapter.java</t>
        </is>
      </c>
      <c r="I20" s="5" t="inlineStr">
        <is>
          <t>Git commits d0a17db 1f7ebc1; M2SchemaCompatibilityTest pass</t>
        </is>
      </c>
      <c r="J20" s="5" t="inlineStr">
        <is>
          <t>Implemented unified adapter resolving active guest stays across M3 M4 M5</t>
        </is>
      </c>
      <c r="K20" s="8" t="inlineStr">
        <is>
          <t>VERIFIED</t>
        </is>
      </c>
      <c r="L20" s="8" t="inlineStr">
        <is>
          <t>HIGH</t>
        </is>
      </c>
      <c r="M20" s="5" t="inlineStr">
        <is>
          <t>Local tests passing in H2 MSSQLServer mode</t>
        </is>
      </c>
      <c r="N20" s="5" t="inlineStr">
        <is>
          <t>Key cross-module bridge for folio and dining integration</t>
        </is>
      </c>
    </row>
    <row r="21" ht="20" customHeight="1">
      <c r="A21" s="6" t="inlineStr">
        <is>
          <t>CONTRIB-20</t>
        </is>
      </c>
      <c r="B21" s="6" t="inlineStr">
        <is>
          <t>Nguyễn Tất Đạt</t>
        </is>
      </c>
      <c r="C21" s="6" t="inlineStr">
        <is>
          <t>Nguyễn Tất Đạt</t>
        </is>
      </c>
      <c r="D21" s="6" t="inlineStr">
        <is>
          <t>INT</t>
        </is>
      </c>
      <c r="E21" s="6" t="inlineStr">
        <is>
          <t>G</t>
        </is>
      </c>
      <c r="F21" s="6" t="inlineStr">
        <is>
          <t>Full Team Integration Merges (M1 M2 M4 M6)</t>
        </is>
      </c>
      <c r="G21" s="6" t="inlineStr">
        <is>
          <t>602c6f8; 0f257ad; 6ff5b9a; 39b086f</t>
        </is>
      </c>
      <c r="H21" s="6" t="inlineStr">
        <is>
          <t>Git history; checkpoints phase-5.8.3.117-step2 to step4</t>
        </is>
      </c>
      <c r="I21" s="6" t="inlineStr">
        <is>
          <t>Git commits 602c6f8 0f257ad 6ff5b9a 39b086f; merge logs</t>
        </is>
      </c>
      <c r="J21" s="6" t="inlineStr">
        <is>
          <t>Executed sequential merges and selective integration of contributor branches</t>
        </is>
      </c>
      <c r="K21" s="8" t="inlineStr">
        <is>
          <t>VERIFIED</t>
        </is>
      </c>
      <c r="L21" s="8" t="inlineStr">
        <is>
          <t>HIGH</t>
        </is>
      </c>
      <c r="M21" s="6" t="inlineStr">
        <is>
          <t>Local tests passing in H2 MSSQLServer mode</t>
        </is>
      </c>
      <c r="N21" s="6" t="inlineStr">
        <is>
          <t>Resolved merge conflicts across security entities and build descriptors</t>
        </is>
      </c>
    </row>
    <row r="22" ht="20" customHeight="1">
      <c r="A22" s="5" t="inlineStr">
        <is>
          <t>CONTRIB-21</t>
        </is>
      </c>
      <c r="B22" s="5" t="inlineStr">
        <is>
          <t>Nguyễn Tất Đạt</t>
        </is>
      </c>
      <c r="C22" s="5" t="inlineStr">
        <is>
          <t>Nguyễn Tất Đạt</t>
        </is>
      </c>
      <c r="D22" s="5" t="inlineStr">
        <is>
          <t>INT</t>
        </is>
      </c>
      <c r="E22" s="5" t="inlineStr">
        <is>
          <t>G</t>
        </is>
      </c>
      <c r="F22" s="5" t="inlineStr">
        <is>
          <t>Phase 5.8.3.118 XH Merge Recovery (44 Conflicts)</t>
        </is>
      </c>
      <c r="G22" s="5" t="inlineStr">
        <is>
          <t>9668586</t>
        </is>
      </c>
      <c r="H22" s="5" t="inlineStr">
        <is>
          <t>pom.xml; SecurityConfig.java; 6 provisional stub entities removed</t>
        </is>
      </c>
      <c r="I22" s="5" t="inlineStr">
        <is>
          <t>Git commit 9668586; tag checkpoint/phase-5.8.3.118-step5-xh</t>
        </is>
      </c>
      <c r="J22" s="5" t="inlineStr">
        <is>
          <t>Recovered interrupted merge resolved 44 conflict paths bound M5 to canonical entities</t>
        </is>
      </c>
      <c r="K22" s="8" t="inlineStr">
        <is>
          <t>VERIFIED</t>
        </is>
      </c>
      <c r="L22" s="8" t="inlineStr">
        <is>
          <t>HIGH</t>
        </is>
      </c>
      <c r="M22" s="5" t="inlineStr">
        <is>
          <t>Local tests passing in H2 MSSQLServer mode</t>
        </is>
      </c>
      <c r="N22" s="5" t="inlineStr">
        <is>
          <t>Eliminated duplicate JPA entities and deduplicated dependencies</t>
        </is>
      </c>
    </row>
    <row r="23" ht="20" customHeight="1">
      <c r="A23" s="6" t="inlineStr">
        <is>
          <t>CONTRIB-22</t>
        </is>
      </c>
      <c r="B23" s="6" t="inlineStr">
        <is>
          <t>Nguyễn Tất Đạt</t>
        </is>
      </c>
      <c r="C23" s="6" t="inlineStr">
        <is>
          <t>Nguyễn Tất Đạt</t>
        </is>
      </c>
      <c r="D23" s="6" t="inlineStr">
        <is>
          <t>INT</t>
        </is>
      </c>
      <c r="E23" s="6" t="inlineStr">
        <is>
          <t>F</t>
        </is>
      </c>
      <c r="F23" s="6" t="inlineStr">
        <is>
          <t>Test Regression Diagnostics &amp; Harmonization</t>
        </is>
      </c>
      <c r="G23" s="6" t="inlineStr">
        <is>
          <t>1f7ebc1</t>
        </is>
      </c>
      <c r="H23" s="6" t="inlineStr">
        <is>
          <t>HswrmsApplicationTests.java; M6AdminIntegrationTests.java; 8 files</t>
        </is>
      </c>
      <c r="I23" s="6" t="inlineStr">
        <is>
          <t>Git commit 1f7ebc1; 526 passed 0 failures 10 skipped</t>
        </is>
      </c>
      <c r="J23" s="6" t="inlineStr">
        <is>
          <t>Fixed H2 MSSQLServer mode property override and M6 dynamic manager ID</t>
        </is>
      </c>
      <c r="K23" s="8" t="inlineStr">
        <is>
          <t>VERIFIED</t>
        </is>
      </c>
      <c r="L23" s="8" t="inlineStr">
        <is>
          <t>HIGH</t>
        </is>
      </c>
      <c r="M23" s="6" t="inlineStr">
        <is>
          <t>Local tests passing in H2 MSSQLServer mode</t>
        </is>
      </c>
      <c r="N23" s="6" t="inlineStr">
        <is>
          <t>Achieved 100% passing automated test suite (526 passed)</t>
        </is>
      </c>
    </row>
    <row r="24" ht="20" customHeight="1">
      <c r="A24" s="5" t="inlineStr">
        <is>
          <t>CONTRIB-23</t>
        </is>
      </c>
      <c r="B24" s="5" t="inlineStr">
        <is>
          <t>Nguyễn Tất Đạt</t>
        </is>
      </c>
      <c r="C24" s="5" t="inlineStr">
        <is>
          <t>Nguyễn Tất Đạt</t>
        </is>
      </c>
      <c r="D24" s="5" t="inlineStr">
        <is>
          <t>INT</t>
        </is>
      </c>
      <c r="E24" s="5" t="inlineStr">
        <is>
          <t>J</t>
        </is>
      </c>
      <c r="F24" s="5" t="inlineStr">
        <is>
          <t>Comprehensive Integration Documentation</t>
        </is>
      </c>
      <c r="G24" s="5" t="inlineStr">
        <is>
          <t>3042eb4</t>
        </is>
      </c>
      <c r="H24" s="5" t="inlineStr">
        <is>
          <t>PHASE_5.8.3.118_INTEGRATION_RECOVERY_AND_RESUMPTION_REPORT.md; PHASE_5.8.3.117-118</t>
        </is>
      </c>
      <c r="I24" s="5" t="inlineStr">
        <is>
          <t>Git commit 3042eb4; reports in 06_Reports and 05_Development</t>
        </is>
      </c>
      <c r="J24" s="5" t="inlineStr">
        <is>
          <t>Chronicle of full integration history branch matrix and diagnostics</t>
        </is>
      </c>
      <c r="K24" s="8" t="inlineStr">
        <is>
          <t>VERIFIED</t>
        </is>
      </c>
      <c r="L24" s="8" t="inlineStr">
        <is>
          <t>HIGH</t>
        </is>
      </c>
      <c r="M24" s="5" t="inlineStr">
        <is>
          <t>Local tests passing in H2 MSSQLServer mode</t>
        </is>
      </c>
      <c r="N24" s="5" t="inlineStr">
        <is>
          <t>Detailed technical reporting and audit trail</t>
        </is>
      </c>
    </row>
    <row r="25" ht="20" customHeight="1">
      <c r="A25" s="6" t="inlineStr">
        <is>
          <t>CONTRIB-24</t>
        </is>
      </c>
      <c r="B25" s="6" t="inlineStr">
        <is>
          <t>Vũ Phương Thảo</t>
        </is>
      </c>
      <c r="C25" s="6" t="inlineStr">
        <is>
          <t>Vũ Phương Thảo</t>
        </is>
      </c>
      <c r="D25" s="6" t="inlineStr">
        <is>
          <t>M4</t>
        </is>
      </c>
      <c r="E25" s="6" t="inlineStr">
        <is>
          <t>B</t>
        </is>
      </c>
      <c r="F25" s="6" t="inlineStr">
        <is>
          <t>Dietary &amp; Wellness Menu Catalog Backend</t>
        </is>
      </c>
      <c r="G25" s="6" t="inlineStr">
        <is>
          <t>7caeaa5</t>
        </is>
      </c>
      <c r="H25" s="6" t="inlineStr">
        <is>
          <t>MenuController.java; MenuService.java; MenuItem.java</t>
        </is>
      </c>
      <c r="I25" s="6" t="inlineStr">
        <is>
          <t>Git commit 7caeaa5; MenuServiceTest (4/4 pass)</t>
        </is>
      </c>
      <c r="J25" s="6" t="inlineStr">
        <is>
          <t>Implemented menu catalog item creation and nutritional macro attributes</t>
        </is>
      </c>
      <c r="K25" s="8" t="inlineStr">
        <is>
          <t>VERIFIED</t>
        </is>
      </c>
      <c r="L25" s="8" t="inlineStr">
        <is>
          <t>HIGH</t>
        </is>
      </c>
      <c r="M25" s="6" t="inlineStr">
        <is>
          <t>Local tests passing in H2 MSSQLServer mode</t>
        </is>
      </c>
      <c r="N25" s="6" t="inlineStr">
        <is>
          <t>Core Module 4 menu catalog implementation</t>
        </is>
      </c>
    </row>
    <row r="26" ht="20" customHeight="1">
      <c r="A26" s="5" t="inlineStr">
        <is>
          <t>CONTRIB-25</t>
        </is>
      </c>
      <c r="B26" s="5" t="inlineStr">
        <is>
          <t>Vũ Phương Thảo</t>
        </is>
      </c>
      <c r="C26" s="5" t="inlineStr">
        <is>
          <t>Vũ Phương Thảo</t>
        </is>
      </c>
      <c r="D26" s="5" t="inlineStr">
        <is>
          <t>M4</t>
        </is>
      </c>
      <c r="E26" s="5" t="inlineStr">
        <is>
          <t>C</t>
        </is>
      </c>
      <c r="F26" s="5" t="inlineStr">
        <is>
          <t>Customer Allergy &amp; Dietary Filtering</t>
        </is>
      </c>
      <c r="G26" s="5" t="inlineStr">
        <is>
          <t>ff85865</t>
        </is>
      </c>
      <c r="H26" s="5" t="inlineStr">
        <is>
          <t>dietaryFilter.ts; DietaryMenuPage.tsx; TextEncodingSanitizer.java</t>
        </is>
      </c>
      <c r="I26" s="5" t="inlineStr">
        <is>
          <t>Git commit ff85865; MenuServiceTest pass</t>
        </is>
      </c>
      <c r="J26" s="5" t="inlineStr">
        <is>
          <t>Implemented client-side allergen filtering and server-side safety checks</t>
        </is>
      </c>
      <c r="K26" s="8" t="inlineStr">
        <is>
          <t>VERIFIED</t>
        </is>
      </c>
      <c r="L26" s="8" t="inlineStr">
        <is>
          <t>HIGH</t>
        </is>
      </c>
      <c r="M26" s="5" t="inlineStr">
        <is>
          <t>Local tests passing in H2 MSSQLServer mode</t>
        </is>
      </c>
      <c r="N26" s="5" t="inlineStr">
        <is>
          <t>Filters menu by guest allergies and dietary profile</t>
        </is>
      </c>
    </row>
    <row r="27" ht="20" customHeight="1">
      <c r="A27" s="6" t="inlineStr">
        <is>
          <t>CONTRIB-26</t>
        </is>
      </c>
      <c r="B27" s="6" t="inlineStr">
        <is>
          <t>Vũ Phương Thảo</t>
        </is>
      </c>
      <c r="C27" s="6" t="inlineStr">
        <is>
          <t>Vũ Phương Thảo</t>
        </is>
      </c>
      <c r="D27" s="6" t="inlineStr">
        <is>
          <t>M4</t>
        </is>
      </c>
      <c r="E27" s="6" t="inlineStr">
        <is>
          <t>C</t>
        </is>
      </c>
      <c r="F27" s="6" t="inlineStr">
        <is>
          <t>Customer Daily Meal Selection Flow</t>
        </is>
      </c>
      <c r="G27" s="6" t="inlineStr">
        <is>
          <t>0abbf03; bdc87b6</t>
        </is>
      </c>
      <c r="H27" s="6" t="inlineStr">
        <is>
          <t>DailyMealSelectionPage.tsx; MyMealPlanPage.tsx</t>
        </is>
      </c>
      <c r="I27" s="6" t="inlineStr">
        <is>
          <t>Git commits 0abbf03 bdc87b6; MealOrderServiceTest (6/6 pass)</t>
        </is>
      </c>
      <c r="J27" s="6" t="inlineStr">
        <is>
          <t>Implemented daily breakfast/lunch/dinner selection within retreat plan</t>
        </is>
      </c>
      <c r="K27" s="8" t="inlineStr">
        <is>
          <t>VERIFIED</t>
        </is>
      </c>
      <c r="L27" s="8" t="inlineStr">
        <is>
          <t>HIGH</t>
        </is>
      </c>
      <c r="M27" s="6" t="inlineStr">
        <is>
          <t>Local tests passing in H2 MSSQLServer mode</t>
        </is>
      </c>
      <c r="N27" s="6" t="inlineStr">
        <is>
          <t>Prevents ordering past dates and enforces meal window policies</t>
        </is>
      </c>
    </row>
    <row r="28" ht="20" customHeight="1">
      <c r="A28" s="5" t="inlineStr">
        <is>
          <t>CONTRIB-27</t>
        </is>
      </c>
      <c r="B28" s="5" t="inlineStr">
        <is>
          <t>Vũ Phương Thảo</t>
        </is>
      </c>
      <c r="C28" s="5" t="inlineStr">
        <is>
          <t>Vũ Phương Thảo</t>
        </is>
      </c>
      <c r="D28" s="5" t="inlineStr">
        <is>
          <t>M4</t>
        </is>
      </c>
      <c r="E28" s="5" t="inlineStr">
        <is>
          <t>B</t>
        </is>
      </c>
      <c r="F28" s="5" t="inlineStr">
        <is>
          <t>Extra A-la-Carte Ordering &amp; Billing Flags</t>
        </is>
      </c>
      <c r="G28" s="5" t="inlineStr">
        <is>
          <t>31cef05</t>
        </is>
      </c>
      <c r="H28" s="5" t="inlineStr">
        <is>
          <t>FnbCustomerOrderController.java; AlaCarteOrderPage.tsx</t>
        </is>
      </c>
      <c r="I28" s="5" t="inlineStr">
        <is>
          <t>Git commit 31cef05; FnbBillingIntegrationTest (2/2 pass)</t>
        </is>
      </c>
      <c r="J28" s="5" t="inlineStr">
        <is>
          <t>Implemented a-la-carte meal ordering with folio billing flags</t>
        </is>
      </c>
      <c r="K28" s="8" t="inlineStr">
        <is>
          <t>VERIFIED</t>
        </is>
      </c>
      <c r="L28" s="8" t="inlineStr">
        <is>
          <t>HIGH</t>
        </is>
      </c>
      <c r="M28" s="5" t="inlineStr">
        <is>
          <t>Local tests passing in H2 MSSQLServer mode</t>
        </is>
      </c>
      <c r="N28" s="5" t="inlineStr">
        <is>
          <t>Flags extra dining expenses for M5 folio aggregation</t>
        </is>
      </c>
    </row>
    <row r="29" ht="20" customHeight="1">
      <c r="A29" s="6" t="inlineStr">
        <is>
          <t>CONTRIB-28</t>
        </is>
      </c>
      <c r="B29" s="6" t="inlineStr">
        <is>
          <t>Vũ Phương Thảo</t>
        </is>
      </c>
      <c r="C29" s="6" t="inlineStr">
        <is>
          <t>Vũ Phương Thảo</t>
        </is>
      </c>
      <c r="D29" s="6" t="inlineStr">
        <is>
          <t>M4</t>
        </is>
      </c>
      <c r="E29" s="6" t="inlineStr">
        <is>
          <t>B</t>
        </is>
      </c>
      <c r="F29" s="6" t="inlineStr">
        <is>
          <t>Kitchen Display System (KDS) &amp; Order Lifecycle</t>
        </is>
      </c>
      <c r="G29" s="6" t="inlineStr">
        <is>
          <t>f1757e1; 7829f12</t>
        </is>
      </c>
      <c r="H29" s="6" t="inlineStr">
        <is>
          <t>FnbKdsController.java; FnbKdsOrderService.java; MealPrepListPage.tsx</t>
        </is>
      </c>
      <c r="I29" s="6" t="inlineStr">
        <is>
          <t>Git commits f1757e1 7829f12; FnbKdsOrderServiceTest pass</t>
        </is>
      </c>
      <c r="J29" s="6" t="inlineStr">
        <is>
          <t>Implemented real-time kitchen queue order status transitions and prep list</t>
        </is>
      </c>
      <c r="K29" s="8" t="inlineStr">
        <is>
          <t>VERIFIED</t>
        </is>
      </c>
      <c r="L29" s="8" t="inlineStr">
        <is>
          <t>HIGH</t>
        </is>
      </c>
      <c r="M29" s="6" t="inlineStr">
        <is>
          <t>Local tests passing in H2 MSSQLServer mode</t>
        </is>
      </c>
      <c r="N29" s="6" t="inlineStr">
        <is>
          <t>Coordinates kitchen staff and chef operations</t>
        </is>
      </c>
    </row>
    <row r="30" ht="20" customHeight="1">
      <c r="A30" s="5" t="inlineStr">
        <is>
          <t>CONTRIB-29</t>
        </is>
      </c>
      <c r="B30" s="5" t="inlineStr">
        <is>
          <t>Vũ Phương Thảo</t>
        </is>
      </c>
      <c r="C30" s="5" t="inlineStr">
        <is>
          <t>Vũ Phương Thảo</t>
        </is>
      </c>
      <c r="D30" s="5" t="inlineStr">
        <is>
          <t>M4</t>
        </is>
      </c>
      <c r="E30" s="5" t="inlineStr">
        <is>
          <t>D</t>
        </is>
      </c>
      <c r="F30" s="5" t="inlineStr">
        <is>
          <t>Recipe Ingredients &amp; Stock Inventory Deduction</t>
        </is>
      </c>
      <c r="G30" s="5" t="inlineStr">
        <is>
          <t>93d6114; 1394e23</t>
        </is>
      </c>
      <c r="H30" s="5" t="inlineStr">
        <is>
          <t>IngredientController.java; InventoryService.java; V007__m4_fnb</t>
        </is>
      </c>
      <c r="I30" s="5" t="inlineStr">
        <is>
          <t>Git commits 93d6114 1394e23; InventoryServiceTest (8/8 pass)</t>
        </is>
      </c>
      <c r="J30" s="5" t="inlineStr">
        <is>
          <t>Implemented recipe ingredient mapping stock deduction and low-stock guards</t>
        </is>
      </c>
      <c r="K30" s="8" t="inlineStr">
        <is>
          <t>VERIFIED</t>
        </is>
      </c>
      <c r="L30" s="8" t="inlineStr">
        <is>
          <t>HIGH</t>
        </is>
      </c>
      <c r="M30" s="5" t="inlineStr">
        <is>
          <t>Local tests passing in H2 MSSQLServer mode</t>
        </is>
      </c>
      <c r="N30" s="5" t="inlineStr">
        <is>
          <t>Tracks kitchen inventory transactions in database</t>
        </is>
      </c>
    </row>
    <row r="31" ht="20" customHeight="1">
      <c r="A31" s="6" t="inlineStr">
        <is>
          <t>CONTRIB-30</t>
        </is>
      </c>
      <c r="B31" s="6" t="inlineStr">
        <is>
          <t>Vũ Phương Thảo</t>
        </is>
      </c>
      <c r="C31" s="6" t="inlineStr">
        <is>
          <t>Vũ Phương Thảo</t>
        </is>
      </c>
      <c r="D31" s="6" t="inlineStr">
        <is>
          <t>M4</t>
        </is>
      </c>
      <c r="E31" s="6" t="inlineStr">
        <is>
          <t>F</t>
        </is>
      </c>
      <c r="F31" s="6" t="inlineStr">
        <is>
          <t>Mojibake Character Repair &amp; Text Sanitization</t>
        </is>
      </c>
      <c r="G31" s="6" t="inlineStr">
        <is>
          <t>299a37d</t>
        </is>
      </c>
      <c r="H31" s="6" t="inlineStr">
        <is>
          <t>TextEncodingSanitizer.java; textEncodingHelper.ts</t>
        </is>
      </c>
      <c r="I31" s="6" t="inlineStr">
        <is>
          <t>Git commit 299a37d; TextEncodingSanitizerTest pass</t>
        </is>
      </c>
      <c r="J31" s="6" t="inlineStr">
        <is>
          <t>Repaired corrupted Vietnamese characters in seed scripts and input strings</t>
        </is>
      </c>
      <c r="K31" s="8" t="inlineStr">
        <is>
          <t>VERIFIED</t>
        </is>
      </c>
      <c r="L31" s="8" t="inlineStr">
        <is>
          <t>HIGH</t>
        </is>
      </c>
      <c r="M31" s="6" t="inlineStr">
        <is>
          <t>Local tests passing in H2 MSSQLServer mode</t>
        </is>
      </c>
      <c r="N31" s="6" t="inlineStr">
        <is>
          <t>Harmonized text encoding across frontend and backend</t>
        </is>
      </c>
    </row>
    <row r="32" ht="20" customHeight="1">
      <c r="A32" s="5" t="inlineStr">
        <is>
          <t>CONTRIB-31</t>
        </is>
      </c>
      <c r="B32" s="5" t="inlineStr">
        <is>
          <t>Vũ Phương Thảo</t>
        </is>
      </c>
      <c r="C32" s="5" t="inlineStr">
        <is>
          <t>Vũ Phương Thảo</t>
        </is>
      </c>
      <c r="D32" s="5" t="inlineStr">
        <is>
          <t>M4</t>
        </is>
      </c>
      <c r="E32" s="5" t="inlineStr">
        <is>
          <t>E</t>
        </is>
      </c>
      <c r="F32" s="5" t="inlineStr">
        <is>
          <t>M4 Automated Unit &amp; Integration Tests</t>
        </is>
      </c>
      <c r="G32" s="5" t="inlineStr">
        <is>
          <t>687befc; d61363b</t>
        </is>
      </c>
      <c r="H32" s="5" t="inlineStr">
        <is>
          <t>MealOrderServiceTest.java; InventoryServiceTest.java; MenuServiceTest.java</t>
        </is>
      </c>
      <c r="I32" s="5" t="inlineStr">
        <is>
          <t>Git commits 687befc d61363b; 42 passing M4 backend tests</t>
        </is>
      </c>
      <c r="J32" s="5" t="inlineStr">
        <is>
          <t>Authored comprehensive test coverage for orders inventory and security</t>
        </is>
      </c>
      <c r="K32" s="8" t="inlineStr">
        <is>
          <t>VERIFIED</t>
        </is>
      </c>
      <c r="L32" s="8" t="inlineStr">
        <is>
          <t>HIGH</t>
        </is>
      </c>
      <c r="M32" s="5" t="inlineStr">
        <is>
          <t>Local tests passing in H2 MSSQLServer mode</t>
        </is>
      </c>
      <c r="N32" s="5" t="inlineStr">
        <is>
          <t>All 42 M4 backend tests pass cleanly</t>
        </is>
      </c>
    </row>
    <row r="33" ht="20" customHeight="1">
      <c r="A33" s="6" t="inlineStr">
        <is>
          <t>CONTRIB-32</t>
        </is>
      </c>
      <c r="B33" s="6" t="inlineStr">
        <is>
          <t>Trần Xuân Hòa</t>
        </is>
      </c>
      <c r="C33" s="6" t="inlineStr">
        <is>
          <t>Tăng Xuân Hòa</t>
        </is>
      </c>
      <c r="D33" s="6" t="inlineStr">
        <is>
          <t>M5</t>
        </is>
      </c>
      <c r="E33" s="6" t="inlineStr">
        <is>
          <t>B</t>
        </is>
      </c>
      <c r="F33" s="6" t="inlineStr">
        <is>
          <t>Real-Time Folio Billing Aggregation Backend</t>
        </is>
      </c>
      <c r="G33" s="6" t="inlineStr">
        <is>
          <t>ebaddc7</t>
        </is>
      </c>
      <c r="H33" s="6" t="inlineStr">
        <is>
          <t>FolioBillingController.java; FolioBillingService.java; FolioEntity.java</t>
        </is>
      </c>
      <c r="I33" s="6" t="inlineStr">
        <is>
          <t>Git commit ebaddc7; M5BillingAndCheckoutTests (48/48 pass)</t>
        </is>
      </c>
      <c r="J33" s="6" t="inlineStr">
        <is>
          <t>Implemented real-time line-item aggregation for accommodation spa and dining</t>
        </is>
      </c>
      <c r="K33" s="8" t="inlineStr">
        <is>
          <t>VERIFIED</t>
        </is>
      </c>
      <c r="L33" s="8" t="inlineStr">
        <is>
          <t>HIGH</t>
        </is>
      </c>
      <c r="M33" s="6" t="inlineStr">
        <is>
          <t>Local tests passing in H2 MSSQLServer mode</t>
        </is>
      </c>
      <c r="N33" s="6" t="inlineStr">
        <is>
          <t>Resolved JPA entity stubs in favor of canonical models in commit 9668586</t>
        </is>
      </c>
    </row>
    <row r="34" ht="20" customHeight="1">
      <c r="A34" s="5" t="inlineStr">
        <is>
          <t>CONTRIB-33</t>
        </is>
      </c>
      <c r="B34" s="5" t="inlineStr">
        <is>
          <t>Trần Xuân Hòa</t>
        </is>
      </c>
      <c r="C34" s="5" t="inlineStr">
        <is>
          <t>Tăng Xuân Hòa</t>
        </is>
      </c>
      <c r="D34" s="5" t="inlineStr">
        <is>
          <t>M5</t>
        </is>
      </c>
      <c r="E34" s="5" t="inlineStr">
        <is>
          <t>B</t>
        </is>
      </c>
      <c r="F34" s="5" t="inlineStr">
        <is>
          <t>Multi-Channel Final Payment Processing</t>
        </is>
      </c>
      <c r="G34" s="5" t="inlineStr">
        <is>
          <t>ebaddc7</t>
        </is>
      </c>
      <c r="H34" s="5" t="inlineStr">
        <is>
          <t>CheckoutController.java; CheckoutService.java; PaymentTransactionEntity.java</t>
        </is>
      </c>
      <c r="I34" s="5" t="inlineStr">
        <is>
          <t>Git commit ebaddc7; M5BillingAndCheckoutTests pass</t>
        </is>
      </c>
      <c r="J34" s="5" t="inlineStr">
        <is>
          <t>Implemented Cash Credit Card and VNPay final payment transactions</t>
        </is>
      </c>
      <c r="K34" s="8" t="inlineStr">
        <is>
          <t>VERIFIED</t>
        </is>
      </c>
      <c r="L34" s="8" t="inlineStr">
        <is>
          <t>HIGH</t>
        </is>
      </c>
      <c r="M34" s="5" t="inlineStr">
        <is>
          <t>Local tests passing in H2 MSSQLServer mode</t>
        </is>
      </c>
      <c r="N34" s="5" t="inlineStr">
        <is>
          <t>Enforces folio settlement and balance verification</t>
        </is>
      </c>
    </row>
    <row r="35" ht="20" customHeight="1">
      <c r="A35" s="6" t="inlineStr">
        <is>
          <t>CONTRIB-34</t>
        </is>
      </c>
      <c r="B35" s="6" t="inlineStr">
        <is>
          <t>Trần Xuân Hòa</t>
        </is>
      </c>
      <c r="C35" s="6" t="inlineStr">
        <is>
          <t>Tăng Xuân Hòa</t>
        </is>
      </c>
      <c r="D35" s="6" t="inlineStr">
        <is>
          <t>M5</t>
        </is>
      </c>
      <c r="E35" s="6" t="inlineStr">
        <is>
          <t>B</t>
        </is>
      </c>
      <c r="F35" s="6" t="inlineStr">
        <is>
          <t>VAT Invoicing &amp; PDF Invoice Generation</t>
        </is>
      </c>
      <c r="G35" s="6" t="inlineStr">
        <is>
          <t>ebaddc7</t>
        </is>
      </c>
      <c r="H35" s="6" t="inlineStr">
        <is>
          <t>InvoiceController.java; InvoicePdfService.java; InvoiceEntity.java</t>
        </is>
      </c>
      <c r="I35" s="6" t="inlineStr">
        <is>
          <t>Git commit ebaddc7; OpenPDF integration</t>
        </is>
      </c>
      <c r="J35" s="6" t="inlineStr">
        <is>
          <t>Implemented VAT calculation (8%/10%) and branded PDF invoice generation</t>
        </is>
      </c>
      <c r="K35" s="8" t="inlineStr">
        <is>
          <t>VERIFIED</t>
        </is>
      </c>
      <c r="L35" s="8" t="inlineStr">
        <is>
          <t>HIGH</t>
        </is>
      </c>
      <c r="M35" s="6" t="inlineStr">
        <is>
          <t>Local tests passing in H2 MSSQLServer mode</t>
        </is>
      </c>
      <c r="N35" s="6" t="inlineStr">
        <is>
          <t>Supports downloadable PDF invoice exports</t>
        </is>
      </c>
    </row>
    <row r="36" ht="20" customHeight="1">
      <c r="A36" s="5" t="inlineStr">
        <is>
          <t>CONTRIB-35</t>
        </is>
      </c>
      <c r="B36" s="5" t="inlineStr">
        <is>
          <t>Trần Xuân Hòa</t>
        </is>
      </c>
      <c r="C36" s="5" t="inlineStr">
        <is>
          <t>Tăng Xuân Hòa</t>
        </is>
      </c>
      <c r="D36" s="5" t="inlineStr">
        <is>
          <t>M5</t>
        </is>
      </c>
      <c r="E36" s="5" t="inlineStr">
        <is>
          <t>B</t>
        </is>
      </c>
      <c r="F36" s="5" t="inlineStr">
        <is>
          <t>Post-Stay Reviews &amp; Category Ratings</t>
        </is>
      </c>
      <c r="G36" s="5" t="inlineStr">
        <is>
          <t>ebaddc7</t>
        </is>
      </c>
      <c r="H36" s="5" t="inlineStr">
        <is>
          <t>CustomerReviewController.java; ReviewService.java; CustomerReviewEntity.java</t>
        </is>
      </c>
      <c r="I36" s="5" t="inlineStr">
        <is>
          <t>Git commit ebaddc7; CustomerReviewRepository tests pass</t>
        </is>
      </c>
      <c r="J36" s="5" t="inlineStr">
        <is>
          <t>Implemented post-checkout guest ratings across resort service categories</t>
        </is>
      </c>
      <c r="K36" s="8" t="inlineStr">
        <is>
          <t>VERIFIED</t>
        </is>
      </c>
      <c r="L36" s="8" t="inlineStr">
        <is>
          <t>HIGH</t>
        </is>
      </c>
      <c r="M36" s="5" t="inlineStr">
        <is>
          <t>Local tests passing in H2 MSSQLServer mode</t>
        </is>
      </c>
      <c r="N36" s="5" t="inlineStr">
        <is>
          <t>Persists 1-5 star ratings and customer feedback</t>
        </is>
      </c>
    </row>
    <row r="37" ht="20" customHeight="1">
      <c r="A37" s="6" t="inlineStr">
        <is>
          <t>CONTRIB-36</t>
        </is>
      </c>
      <c r="B37" s="6" t="inlineStr">
        <is>
          <t>Trần Xuân Hòa</t>
        </is>
      </c>
      <c r="C37" s="6" t="inlineStr">
        <is>
          <t>Tăng Xuân Hòa</t>
        </is>
      </c>
      <c r="D37" s="6" t="inlineStr">
        <is>
          <t>M5</t>
        </is>
      </c>
      <c r="E37" s="6" t="inlineStr">
        <is>
          <t>B</t>
        </is>
      </c>
      <c r="F37" s="6" t="inlineStr">
        <is>
          <t>Financial Revenue &amp; Occupancy Analytics</t>
        </is>
      </c>
      <c r="G37" s="6" t="inlineStr">
        <is>
          <t>ebaddc7</t>
        </is>
      </c>
      <c r="H37" s="6" t="inlineStr">
        <is>
          <t>AnalyticsController.java; AnalyticsService.java; RevenueAnalyticsDTO.java</t>
        </is>
      </c>
      <c r="I37" s="6" t="inlineStr">
        <is>
          <t>Git commit ebaddc7; AnalyticsService tests pass</t>
        </is>
      </c>
      <c r="J37" s="6" t="inlineStr">
        <is>
          <t>Implemented manager financial analytics ADR RevPAR and room occupancy</t>
        </is>
      </c>
      <c r="K37" s="8" t="inlineStr">
        <is>
          <t>VERIFIED</t>
        </is>
      </c>
      <c r="L37" s="8" t="inlineStr">
        <is>
          <t>HIGH</t>
        </is>
      </c>
      <c r="M37" s="6" t="inlineStr">
        <is>
          <t>Local tests passing in H2 MSSQLServer mode</t>
        </is>
      </c>
      <c r="N37" s="6" t="inlineStr">
        <is>
          <t>Provides reporting data for management dashboards</t>
        </is>
      </c>
    </row>
    <row r="38" ht="20" customHeight="1">
      <c r="A38" s="5" t="inlineStr">
        <is>
          <t>CONTRIB-37</t>
        </is>
      </c>
      <c r="B38" s="5" t="inlineStr">
        <is>
          <t>Trần Xuân Hòa</t>
        </is>
      </c>
      <c r="C38" s="5" t="inlineStr">
        <is>
          <t>Tăng Xuân Hòa</t>
        </is>
      </c>
      <c r="D38" s="5" t="inlineStr">
        <is>
          <t>M5</t>
        </is>
      </c>
      <c r="E38" s="5" t="inlineStr">
        <is>
          <t>C</t>
        </is>
      </c>
      <c r="F38" s="5" t="inlineStr">
        <is>
          <t>Frontend Billing Checkout &amp; Analytics Pages</t>
        </is>
      </c>
      <c r="G38" s="5" t="inlineStr">
        <is>
          <t>ebaddc7</t>
        </is>
      </c>
      <c r="H38" s="5" t="inlineStr">
        <is>
          <t>billingApi.ts; useBilling.ts; FolioInvoicePage.tsx; FinalPaymentPage.tsx</t>
        </is>
      </c>
      <c r="I38" s="5" t="inlineStr">
        <is>
          <t>Git commit ebaddc7; Vite build (0 errors)</t>
        </is>
      </c>
      <c r="J38" s="5" t="inlineStr">
        <is>
          <t>Implemented customer folio payment and review pages + manager analytics</t>
        </is>
      </c>
      <c r="K38" s="8" t="inlineStr">
        <is>
          <t>VERIFIED</t>
        </is>
      </c>
      <c r="L38" s="8" t="inlineStr">
        <is>
          <t>HIGH</t>
        </is>
      </c>
      <c r="M38" s="5" t="inlineStr">
        <is>
          <t>Local tests passing in H2 MSSQLServer mode</t>
        </is>
      </c>
      <c r="N38" s="5" t="inlineStr">
        <is>
          <t>Harmonized SSR safety and booking resolution in commit 9668586</t>
        </is>
      </c>
    </row>
    <row r="39" ht="20" customHeight="1">
      <c r="A39" s="6" t="inlineStr">
        <is>
          <t>CONTRIB-38</t>
        </is>
      </c>
      <c r="B39" s="6" t="inlineStr">
        <is>
          <t>Trần Xuân Hòa</t>
        </is>
      </c>
      <c r="C39" s="6" t="inlineStr">
        <is>
          <t>Tăng Xuân Hòa</t>
        </is>
      </c>
      <c r="D39" s="6" t="inlineStr">
        <is>
          <t>M5</t>
        </is>
      </c>
      <c r="E39" s="6" t="inlineStr">
        <is>
          <t>E</t>
        </is>
      </c>
      <c r="F39" s="6" t="inlineStr">
        <is>
          <t>M5 Automated Test Suite (48 Tests)</t>
        </is>
      </c>
      <c r="G39" s="6" t="inlineStr">
        <is>
          <t>ebaddc7</t>
        </is>
      </c>
      <c r="H39" s="6" t="inlineStr">
        <is>
          <t>M5BillingAndCheckoutTests.java; paymentSafety.test.ts</t>
        </is>
      </c>
      <c r="I39" s="6" t="inlineStr">
        <is>
          <t>Git commit ebaddc7; 48 passing tests in M5BillingAndCheckoutTests</t>
        </is>
      </c>
      <c r="J39" s="6" t="inlineStr">
        <is>
          <t>Authored comprehensive test coverage across billing checkout and analytics</t>
        </is>
      </c>
      <c r="K39" s="8" t="inlineStr">
        <is>
          <t>VERIFIED</t>
        </is>
      </c>
      <c r="L39" s="8" t="inlineStr">
        <is>
          <t>HIGH</t>
        </is>
      </c>
      <c r="M39" s="6" t="inlineStr">
        <is>
          <t>Local tests passing in H2 MSSQLServer mode</t>
        </is>
      </c>
      <c r="N39" s="6" t="inlineStr">
        <is>
          <t>All 48 tests pass cleanly in Maven test suite</t>
        </is>
      </c>
    </row>
    <row r="40" ht="20" customHeight="1">
      <c r="A40" s="5" t="inlineStr">
        <is>
          <t>CONTRIB-39</t>
        </is>
      </c>
      <c r="B40" s="5" t="inlineStr">
        <is>
          <t>Phan Thành Vinh</t>
        </is>
      </c>
      <c r="C40" s="5" t="inlineStr">
        <is>
          <t>Phạm Thành Vinh</t>
        </is>
      </c>
      <c r="D40" s="5" t="inlineStr">
        <is>
          <t>M6</t>
        </is>
      </c>
      <c r="E40" s="5" t="inlineStr">
        <is>
          <t>C</t>
        </is>
      </c>
      <c r="F40" s="5" t="inlineStr">
        <is>
          <t>Admin Governance &amp; Staff Management Frontend</t>
        </is>
      </c>
      <c r="G40" s="5" t="inlineStr">
        <is>
          <t>39b086f</t>
        </is>
      </c>
      <c r="H40" s="5" t="inlineStr">
        <is>
          <t>AdminDashboardPage.tsx; AdminDelegationPage.tsx; StaffAccountListPage.tsx</t>
        </is>
      </c>
      <c r="I40" s="5" t="inlineStr">
        <is>
          <t>Git commit 39b086f; AppRouter mappings</t>
        </is>
      </c>
      <c r="J40" s="5" t="inlineStr">
        <is>
          <t>Implemented admin system overview staff account listing and delegation UI</t>
        </is>
      </c>
      <c r="K40" s="8" t="inlineStr">
        <is>
          <t>VERIFIED</t>
        </is>
      </c>
      <c r="L40" s="8" t="inlineStr">
        <is>
          <t>HIGH</t>
        </is>
      </c>
      <c r="M40" s="5" t="inlineStr">
        <is>
          <t>Local tests passing in H2 MSSQLServer mode</t>
        </is>
      </c>
      <c r="N40" s="5" t="inlineStr">
        <is>
          <t>Guarded by granular RBAC permissions in RoleGuard</t>
        </is>
      </c>
    </row>
    <row r="41" ht="20" customHeight="1">
      <c r="A41" s="6" t="inlineStr">
        <is>
          <t>CONTRIB-40</t>
        </is>
      </c>
      <c r="B41" s="6" t="inlineStr">
        <is>
          <t>Phan Thành Vinh</t>
        </is>
      </c>
      <c r="C41" s="6" t="inlineStr">
        <is>
          <t>Phạm Thành Vinh</t>
        </is>
      </c>
      <c r="D41" s="6" t="inlineStr">
        <is>
          <t>M2/M3</t>
        </is>
      </c>
      <c r="E41" s="6" t="inlineStr">
        <is>
          <t>C</t>
        </is>
      </c>
      <c r="F41" s="6" t="inlineStr">
        <is>
          <t>Manager Villa &amp; Spa Management Interfaces</t>
        </is>
      </c>
      <c r="G41" s="6" t="inlineStr">
        <is>
          <t>39b086f</t>
        </is>
      </c>
      <c r="H41" s="6" t="inlineStr">
        <is>
          <t>VillaManagementPage.tsx (2765 lines); SpaManagementPage.tsx (1843 lines)</t>
        </is>
      </c>
      <c r="I41" s="6" t="inlineStr">
        <is>
          <t>Git commit 39b086f; TypeScript build (0 errors)</t>
        </is>
      </c>
      <c r="J41" s="6" t="inlineStr">
        <is>
          <t>Implemented rich interactive interfaces for villa inventory and spa packages</t>
        </is>
      </c>
      <c r="K41" s="8" t="inlineStr">
        <is>
          <t>VERIFIED</t>
        </is>
      </c>
      <c r="L41" s="8" t="inlineStr">
        <is>
          <t>HIGH</t>
        </is>
      </c>
      <c r="M41" s="6" t="inlineStr">
        <is>
          <t>Local tests passing in H2 MSSQLServer mode</t>
        </is>
      </c>
      <c r="N41" s="6" t="inlineStr">
        <is>
          <t>Massive frontend contribution providing complete manager control</t>
        </is>
      </c>
    </row>
    <row r="42" ht="20" customHeight="1">
      <c r="A42" s="5" t="inlineStr">
        <is>
          <t>CONTRIB-41</t>
        </is>
      </c>
      <c r="B42" s="5" t="inlineStr">
        <is>
          <t>Phan Thành Vinh</t>
        </is>
      </c>
      <c r="C42" s="5" t="inlineStr">
        <is>
          <t>Phạm Thành Vinh</t>
        </is>
      </c>
      <c r="D42" s="5" t="inlineStr">
        <is>
          <t>M2/M3</t>
        </is>
      </c>
      <c r="E42" s="5" t="inlineStr">
        <is>
          <t>C</t>
        </is>
      </c>
      <c r="F42" s="5" t="inlineStr">
        <is>
          <t>Villa &amp; Spa Specification Modals</t>
        </is>
      </c>
      <c r="G42" s="5" t="inlineStr">
        <is>
          <t>39b086f</t>
        </is>
      </c>
      <c r="H42" s="5" t="inlineStr">
        <is>
          <t>AddVillaModal.tsx; AddVillaCategoryModal.tsx; AddSpaTreatmentModal.tsx</t>
        </is>
      </c>
      <c r="I42" s="5" t="inlineStr">
        <is>
          <t>Git commit 39b086f; OperationalLayout</t>
        </is>
      </c>
      <c r="J42" s="5" t="inlineStr">
        <is>
          <t>Implemented interactive modals for adding and editing prices and units</t>
        </is>
      </c>
      <c r="K42" s="8" t="inlineStr">
        <is>
          <t>VERIFIED</t>
        </is>
      </c>
      <c r="L42" s="8" t="inlineStr">
        <is>
          <t>HIGH</t>
        </is>
      </c>
      <c r="M42" s="5" t="inlineStr">
        <is>
          <t>Local tests passing in H2 MSSQLServer mode</t>
        </is>
      </c>
      <c r="N42" s="5" t="inlineStr">
        <is>
          <t>11 dedicated operational modals in components/operations</t>
        </is>
      </c>
    </row>
    <row r="43" ht="20" customHeight="1">
      <c r="A43" s="6" t="inlineStr">
        <is>
          <t>CONTRIB-42</t>
        </is>
      </c>
      <c r="B43" s="6" t="inlineStr">
        <is>
          <t>Phan Thành Vinh</t>
        </is>
      </c>
      <c r="C43" s="6" t="inlineStr">
        <is>
          <t>Phạm Thành Vinh</t>
        </is>
      </c>
      <c r="D43" s="6" t="inlineStr">
        <is>
          <t>M2/M3</t>
        </is>
      </c>
      <c r="E43" s="6" t="inlineStr">
        <is>
          <t>D</t>
        </is>
      </c>
      <c r="F43" s="6" t="inlineStr">
        <is>
          <t>Villa &amp; Spa Master Data Seed Scripts</t>
        </is>
      </c>
      <c r="G43" s="6" t="inlineStr">
        <is>
          <t>39b086f</t>
        </is>
      </c>
      <c r="H43" s="6" t="inlineStr">
        <is>
          <t>V1_2__seed_villa_inventory.sql; V1_3__seed_spa_retreat_packages.sql; V1_4</t>
        </is>
      </c>
      <c r="I43" s="6" t="inlineStr">
        <is>
          <t>Git commit 39b086f; seed scripts in repo</t>
        </is>
      </c>
      <c r="J43" s="6" t="inlineStr">
        <is>
          <t>Authored comprehensive SQL seed files for villas packages and treatments</t>
        </is>
      </c>
      <c r="K43" s="8" t="inlineStr">
        <is>
          <t>VERIFIED</t>
        </is>
      </c>
      <c r="L43" s="8" t="inlineStr">
        <is>
          <t>HIGH</t>
        </is>
      </c>
      <c r="M43" s="6" t="inlineStr">
        <is>
          <t>Local tests passing in H2 MSSQLServer mode</t>
        </is>
      </c>
      <c r="N43" s="6" t="inlineStr">
        <is>
          <t>V1_4 duration_unit fix harmonized during XH merge</t>
        </is>
      </c>
    </row>
    <row r="44" ht="20" customHeight="1">
      <c r="A44" s="5" t="inlineStr">
        <is>
          <t>CONTRIB-43</t>
        </is>
      </c>
      <c r="B44" s="5" t="inlineStr">
        <is>
          <t>Phan Thành Vinh</t>
        </is>
      </c>
      <c r="C44" s="5" t="inlineStr">
        <is>
          <t>Phạm Thành Vinh</t>
        </is>
      </c>
      <c r="D44" s="5" t="inlineStr">
        <is>
          <t>M6</t>
        </is>
      </c>
      <c r="E44" s="5" t="inlineStr">
        <is>
          <t>B</t>
        </is>
      </c>
      <c r="F44" s="5" t="inlineStr">
        <is>
          <t>Backend Master Data &amp; Dashboard Controllers</t>
        </is>
      </c>
      <c r="G44" s="5" t="inlineStr">
        <is>
          <t>39b086f</t>
        </is>
      </c>
      <c r="H44" s="5" t="inlineStr">
        <is>
          <t>PhysicalVilla.java; RetreatPackage.java; DashboardController.java</t>
        </is>
      </c>
      <c r="I44" s="5" t="inlineStr">
        <is>
          <t>Git commit 39b086f; M6AdminIntegrationTests pass</t>
        </is>
      </c>
      <c r="J44" s="5" t="inlineStr">
        <is>
          <t>Implemented domain models and dashboard reporting endpoints</t>
        </is>
      </c>
      <c r="K44" s="8" t="inlineStr">
        <is>
          <t>VERIFIED</t>
        </is>
      </c>
      <c r="L44" s="8" t="inlineStr">
        <is>
          <t>HIGH</t>
        </is>
      </c>
      <c r="M44" s="5" t="inlineStr">
        <is>
          <t>Local tests passing in H2 MSSQLServer mode</t>
        </is>
      </c>
      <c r="N44" s="5" t="inlineStr">
        <is>
          <t>Harmonized with canonical entities in commit 39b086f</t>
        </is>
      </c>
    </row>
    <row r="45" ht="20" customHeight="1">
      <c r="A45" s="6" t="inlineStr">
        <is>
          <t>CONTRIB-44</t>
        </is>
      </c>
      <c r="B45" s="6" t="inlineStr">
        <is>
          <t>Phan Thành Vinh</t>
        </is>
      </c>
      <c r="C45" s="6" t="inlineStr">
        <is>
          <t>Phạm Thành Vinh</t>
        </is>
      </c>
      <c r="D45" s="6" t="inlineStr">
        <is>
          <t>M6</t>
        </is>
      </c>
      <c r="E45" s="6" t="inlineStr">
        <is>
          <t>J</t>
        </is>
      </c>
      <c r="F45" s="6" t="inlineStr">
        <is>
          <t>Business Flow Tracing &amp; Requirements Analysis</t>
        </is>
      </c>
      <c r="G45" s="6" t="inlineStr">
        <is>
          <t>6de3f95</t>
        </is>
      </c>
      <c r="H45" s="6" t="inlineStr">
        <is>
          <t>02_Requirement/Improve/Need_Improve/Manager.docx; admin.docx</t>
        </is>
      </c>
      <c r="I45" s="6" t="inlineStr">
        <is>
          <t>Git commit 6de3f95; requirement documents in repo</t>
        </is>
      </c>
      <c r="J45" s="6" t="inlineStr">
        <is>
          <t>Authored detailed business flow analysis and requirement improvement notes</t>
        </is>
      </c>
      <c r="K45" s="8" t="inlineStr">
        <is>
          <t>VERIFIED</t>
        </is>
      </c>
      <c r="L45" s="8" t="inlineStr">
        <is>
          <t>HIGH</t>
        </is>
      </c>
      <c r="M45" s="6" t="inlineStr">
        <is>
          <t>Local tests passing in H2 MSSQLServer mode</t>
        </is>
      </c>
      <c r="N45" s="6" t="inlineStr">
        <is>
          <t>Documented screen flows and operational role requirements</t>
        </is>
      </c>
    </row>
  </sheetData>
  <autoFilter ref="A1:N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0"/>
  <sheetViews>
    <sheetView showGridLines="1" workbookViewId="0">
      <pane ySplit="1" topLeftCell="A2" activePane="bottomLeft" state="frozen"/>
      <selection pane="bottomLeft" activeCell="A1" sqref="A1"/>
    </sheetView>
  </sheetViews>
  <sheetFormatPr baseColWidth="8" defaultRowHeight="15"/>
  <cols>
    <col width="12" customWidth="1" min="1" max="1"/>
    <col width="13" customWidth="1" min="2" max="2"/>
    <col width="49" customWidth="1" min="3" max="3"/>
    <col width="48" customWidth="1" min="4" max="4"/>
    <col width="52" customWidth="1" min="5" max="5"/>
    <col width="52" customWidth="1" min="6" max="6"/>
    <col width="52" customWidth="1" min="7" max="7"/>
    <col width="52" customWidth="1" min="8" max="8"/>
    <col width="29" customWidth="1" min="9" max="9"/>
    <col width="23" customWidth="1" min="10" max="10"/>
    <col width="26" customWidth="1" min="11" max="11"/>
    <col width="52" customWidth="1" min="12" max="12"/>
  </cols>
  <sheetData>
    <row r="1" ht="28" customHeight="1">
      <c r="A1" s="4" t="inlineStr">
        <is>
          <t>Module</t>
        </is>
      </c>
      <c r="B1" s="4" t="inlineStr">
        <is>
          <t>Feature_ID</t>
        </is>
      </c>
      <c r="C1" s="4" t="inlineStr">
        <is>
          <t>Feature_Or_Function</t>
        </is>
      </c>
      <c r="D1" s="4" t="inlineStr">
        <is>
          <t>Scope_Taxonomy</t>
        </is>
      </c>
      <c r="E1" s="4" t="inlineStr">
        <is>
          <t>Backend_Evidence</t>
        </is>
      </c>
      <c r="F1" s="4" t="inlineStr">
        <is>
          <t>Frontend_Evidence</t>
        </is>
      </c>
      <c r="G1" s="4" t="inlineStr">
        <is>
          <t>Database_Dependency</t>
        </is>
      </c>
      <c r="H1" s="4" t="inlineStr">
        <is>
          <t>Test_Evidence</t>
        </is>
      </c>
      <c r="I1" s="4" t="inlineStr">
        <is>
          <t>Implementation_Status</t>
        </is>
      </c>
      <c r="J1" s="4" t="inlineStr">
        <is>
          <t>Runtime_Status</t>
        </is>
      </c>
      <c r="K1" s="4" t="inlineStr">
        <is>
          <t>Verification_Confidence</t>
        </is>
      </c>
      <c r="L1" s="4" t="inlineStr">
        <is>
          <t>Reconciliation_Scope_Notes</t>
        </is>
      </c>
    </row>
    <row r="2" ht="20" customHeight="1">
      <c r="A2" s="5" t="inlineStr">
        <is>
          <t>M1</t>
        </is>
      </c>
      <c r="B2" s="5" t="inlineStr">
        <is>
          <t>M1-F01</t>
        </is>
      </c>
      <c r="C2" s="5" t="inlineStr">
        <is>
          <t>User Registration &amp; Email OTP Verification</t>
        </is>
      </c>
      <c r="D2" s="5" t="inlineStr">
        <is>
          <t>Core Business Use Case &amp; Technical Capability</t>
        </is>
      </c>
      <c r="E2" s="5" t="inlineStr">
        <is>
          <t>AuthController; AuthService; DevEmailDeliveryAdapter</t>
        </is>
      </c>
      <c r="F2" s="5" t="inlineStr">
        <is>
          <t>RegisterPage; EmailOtpVerificationPage</t>
        </is>
      </c>
      <c r="G2" s="5" t="inlineStr">
        <is>
          <t>dbo.User; dbo.EmailOtp</t>
        </is>
      </c>
      <c r="H2" s="5" t="inlineStr">
        <is>
          <t>AuthServiceTest; DevEmailDeliveryAdapterTest (pass)</t>
        </is>
      </c>
      <c r="I2" s="5" t="inlineStr">
        <is>
          <t>IMPLEMENTED_EVIDENCE_FOUND</t>
        </is>
      </c>
      <c r="J2" s="5" t="inlineStr">
        <is>
          <t>AUTOMATED_TESTS_ONLY</t>
        </is>
      </c>
      <c r="K2" s="8" t="inlineStr">
        <is>
          <t>HIGH</t>
        </is>
      </c>
      <c r="L2" s="5" t="inlineStr">
        <is>
          <t>Part of 49 granular technical inventory (represents 27 core SRS business use cases). Live SMTP / SendGrid credentials required for production delivery</t>
        </is>
      </c>
    </row>
    <row r="3" ht="20" customHeight="1">
      <c r="A3" s="6" t="inlineStr">
        <is>
          <t>M1</t>
        </is>
      </c>
      <c r="B3" s="6" t="inlineStr">
        <is>
          <t>M1-F02</t>
        </is>
      </c>
      <c r="C3" s="6" t="inlineStr">
        <is>
          <t>User Login &amp; JWT Token Issuance / Refresh</t>
        </is>
      </c>
      <c r="D3" s="6" t="inlineStr">
        <is>
          <t>Core Business Use Case &amp; Technical Capability</t>
        </is>
      </c>
      <c r="E3" s="6" t="inlineStr">
        <is>
          <t>AuthController; AuthService; JwtTokenProvider</t>
        </is>
      </c>
      <c r="F3" s="6" t="inlineStr">
        <is>
          <t>LoginPage; AuthProvider</t>
        </is>
      </c>
      <c r="G3" s="6" t="inlineStr">
        <is>
          <t>dbo.User; dbo.UserRole; dbo.Role</t>
        </is>
      </c>
      <c r="H3" s="6" t="inlineStr">
        <is>
          <t>AuthLoginEndpointTests (5/5 pass); JwtTokenProviderTest</t>
        </is>
      </c>
      <c r="I3" s="6" t="inlineStr">
        <is>
          <t>IMPLEMENTED_EVIDENCE_FOUND</t>
        </is>
      </c>
      <c r="J3" s="6" t="inlineStr">
        <is>
          <t>AUTOMATED_TESTS_ONLY</t>
        </is>
      </c>
      <c r="K3" s="8" t="inlineStr">
        <is>
          <t>HIGH</t>
        </is>
      </c>
      <c r="L3" s="6" t="inlineStr">
        <is>
          <t>Part of 49 granular technical inventory (represents 27 core SRS business use cases). Verified with in-memory H2; production token secret should be kept in env</t>
        </is>
      </c>
    </row>
    <row r="4" ht="20" customHeight="1">
      <c r="A4" s="5" t="inlineStr">
        <is>
          <t>M1</t>
        </is>
      </c>
      <c r="B4" s="5" t="inlineStr">
        <is>
          <t>M1-F03</t>
        </is>
      </c>
      <c r="C4" s="5" t="inlineStr">
        <is>
          <t>Google &amp; Facebook SSO Integration</t>
        </is>
      </c>
      <c r="D4" s="5" t="inlineStr">
        <is>
          <t>Core Business Use Case &amp; Technical Capability</t>
        </is>
      </c>
      <c r="E4" s="5" t="inlineStr">
        <is>
          <t>SsoController; SsoService; SsoOAuth2SuccessHandler</t>
        </is>
      </c>
      <c r="F4" s="5" t="inlineStr">
        <is>
          <t>SsoCallbackPage; LoginPage</t>
        </is>
      </c>
      <c r="G4" s="5" t="inlineStr">
        <is>
          <t>dbo.AuthIdentity; dbo.User</t>
        </is>
      </c>
      <c r="H4" s="5" t="inlineStr">
        <is>
          <t>SsoAuthEndpointTests (14/14 pass); SsoTicketServiceTest</t>
        </is>
      </c>
      <c r="I4" s="5" t="inlineStr">
        <is>
          <t>IMPLEMENTED_EVIDENCE_FOUND</t>
        </is>
      </c>
      <c r="J4" s="5" t="inlineStr">
        <is>
          <t>NOT_RUNTIME_VERIFIED</t>
        </is>
      </c>
      <c r="K4" s="8" t="inlineStr">
        <is>
          <t>HIGH</t>
        </is>
      </c>
      <c r="L4" s="5" t="inlineStr">
        <is>
          <t>Part of 49 granular technical inventory (represents 27 core SRS business use cases). Mock HTTP callbacks verified; live OAuth2 handshake with Google/Facebook requires staging</t>
        </is>
      </c>
    </row>
    <row r="5" ht="20" customHeight="1">
      <c r="A5" s="6" t="inlineStr">
        <is>
          <t>M1</t>
        </is>
      </c>
      <c r="B5" s="6" t="inlineStr">
        <is>
          <t>M1-F04</t>
        </is>
      </c>
      <c r="C5" s="6" t="inlineStr">
        <is>
          <t>Account Lockout &amp; Auto-Unlock Background Job</t>
        </is>
      </c>
      <c r="D5" s="6" t="inlineStr">
        <is>
          <t>Core Business Use Case &amp; Technical Capability</t>
        </is>
      </c>
      <c r="E5" s="6" t="inlineStr">
        <is>
          <t>AuthService; AccountUnlockJob</t>
        </is>
      </c>
      <c r="F5" s="6" t="inlineStr">
        <is>
          <t>LoginPage (error feedback)</t>
        </is>
      </c>
      <c r="G5" s="6" t="inlineStr">
        <is>
          <t>dbo.User (failed_attempts; lockout_until)</t>
        </is>
      </c>
      <c r="H5" s="6" t="inlineStr">
        <is>
          <t>AccountLockoutIntegrationTest (8/8 pass); AccountUnlockJobTest</t>
        </is>
      </c>
      <c r="I5" s="6" t="inlineStr">
        <is>
          <t>IMPLEMENTED_EVIDENCE_FOUND</t>
        </is>
      </c>
      <c r="J5" s="6" t="inlineStr">
        <is>
          <t>AUTOMATED_TESTS_ONLY</t>
        </is>
      </c>
      <c r="K5" s="8" t="inlineStr">
        <is>
          <t>HIGH</t>
        </is>
      </c>
      <c r="L5" s="6" t="inlineStr">
        <is>
          <t>Part of 49 granular technical inventory (represents 27 core SRS business use cases). Verified in Spring test slice; scheduler active in application lifecycle</t>
        </is>
      </c>
    </row>
    <row r="6" ht="20" customHeight="1">
      <c r="A6" s="5" t="inlineStr">
        <is>
          <t>M1</t>
        </is>
      </c>
      <c r="B6" s="5" t="inlineStr">
        <is>
          <t>M1-F05</t>
        </is>
      </c>
      <c r="C6" s="5" t="inlineStr">
        <is>
          <t>Customer Profile Management &amp; ToS Consent</t>
        </is>
      </c>
      <c r="D6" s="5" t="inlineStr">
        <is>
          <t>Core Business Use Case &amp; Technical Capability</t>
        </is>
      </c>
      <c r="E6" s="5" t="inlineStr">
        <is>
          <t>CustomerProfileController; ConsentController; CustomerProfileService</t>
        </is>
      </c>
      <c r="F6" s="5" t="inlineStr">
        <is>
          <t>AccountSettingsPage; CustomerContext</t>
        </is>
      </c>
      <c r="G6" s="5" t="inlineStr">
        <is>
          <t>dbo.CustomerProfile; dbo.ConsentRecord</t>
        </is>
      </c>
      <c r="H6" s="5" t="inlineStr">
        <is>
          <t>CustomerProfileControllerTests (8/8 pass); ConsentServiceTest</t>
        </is>
      </c>
      <c r="I6" s="5" t="inlineStr">
        <is>
          <t>IMPLEMENTED_EVIDENCE_FOUND</t>
        </is>
      </c>
      <c r="J6" s="5" t="inlineStr">
        <is>
          <t>AUTOMATED_TESTS_ONLY</t>
        </is>
      </c>
      <c r="K6" s="8" t="inlineStr">
        <is>
          <t>HIGH</t>
        </is>
      </c>
      <c r="L6" s="5" t="inlineStr">
        <is>
          <t>Part of 49 granular technical inventory (represents 27 core SRS business use cases). Profile updates and consent tracking functional</t>
        </is>
      </c>
    </row>
    <row r="7" ht="20" customHeight="1">
      <c r="A7" s="6" t="inlineStr">
        <is>
          <t>M1</t>
        </is>
      </c>
      <c r="B7" s="6" t="inlineStr">
        <is>
          <t>M1-F06</t>
        </is>
      </c>
      <c r="C7" s="6" t="inlineStr">
        <is>
          <t>Customer Health Profile &amp; Dietary Intake</t>
        </is>
      </c>
      <c r="D7" s="6" t="inlineStr">
        <is>
          <t>Core Business Use Case &amp; Technical Capability</t>
        </is>
      </c>
      <c r="E7" s="6" t="inlineStr">
        <is>
          <t>HealthProfileController; HealthProfileService</t>
        </is>
      </c>
      <c r="F7" s="6" t="inlineStr">
        <is>
          <t>HealthProfilePage; CustomerContext</t>
        </is>
      </c>
      <c r="G7" s="6" t="inlineStr">
        <is>
          <t>dbo.HealthProfile; dbo.DietaryRequirement; dbo.FoodAllergy</t>
        </is>
      </c>
      <c r="H7" s="6" t="inlineStr">
        <is>
          <t>HealthProfileServiceTest pass</t>
        </is>
      </c>
      <c r="I7" s="6" t="inlineStr">
        <is>
          <t>IMPLEMENTED_EVIDENCE_FOUND</t>
        </is>
      </c>
      <c r="J7" s="6" t="inlineStr">
        <is>
          <t>AUTOMATED_TESTS_ONLY</t>
        </is>
      </c>
      <c r="K7" s="8" t="inlineStr">
        <is>
          <t>HIGH</t>
        </is>
      </c>
      <c r="L7" s="6" t="inlineStr">
        <is>
          <t>Part of 49 granular technical inventory (represents 27 core SRS business use cases). Medical notes and emergency contacts mapped</t>
        </is>
      </c>
    </row>
    <row r="8" ht="20" customHeight="1">
      <c r="A8" s="5" t="inlineStr">
        <is>
          <t>M1</t>
        </is>
      </c>
      <c r="B8" s="5" t="inlineStr">
        <is>
          <t>M1-F07</t>
        </is>
      </c>
      <c r="C8" s="5" t="inlineStr">
        <is>
          <t>GDPR Health Data Deletion Request (Screen #9)</t>
        </is>
      </c>
      <c r="D8" s="5" t="inlineStr">
        <is>
          <t>Core Business Use Case &amp; Technical Capability</t>
        </is>
      </c>
      <c r="E8" s="5" t="inlineStr">
        <is>
          <t>HealthDataDeletionRequestController; HealthDataDeletionRequestService</t>
        </is>
      </c>
      <c r="F8" s="5" t="inlineStr">
        <is>
          <t>HealthDataDeletionPage</t>
        </is>
      </c>
      <c r="G8" s="5" t="inlineStr">
        <is>
          <t>dbo.HealthDataDeletionRequest; dbo.CustomerProfile</t>
        </is>
      </c>
      <c r="H8" s="5" t="inlineStr">
        <is>
          <t>HealthDataDeletionRequestServiceTest (pass)</t>
        </is>
      </c>
      <c r="I8" s="5" t="inlineStr">
        <is>
          <t>IMPLEMENTED_EVIDENCE_FOUND</t>
        </is>
      </c>
      <c r="J8" s="5" t="inlineStr">
        <is>
          <t>AUTOMATED_TESTS_ONLY</t>
        </is>
      </c>
      <c r="K8" s="8" t="inlineStr">
        <is>
          <t>HIGH</t>
        </is>
      </c>
      <c r="L8" s="5" t="inlineStr">
        <is>
          <t>Part of 49 granular technical inventory (represents 27 core SRS business use cases). GDPR compliance flow with review audit trail</t>
        </is>
      </c>
    </row>
    <row r="9" ht="20" customHeight="1">
      <c r="A9" s="6" t="inlineStr">
        <is>
          <t>M1</t>
        </is>
      </c>
      <c r="B9" s="6" t="inlineStr">
        <is>
          <t>M1-F08</t>
        </is>
      </c>
      <c r="C9" s="6" t="inlineStr">
        <is>
          <t>Local Dev Authentication Bypass</t>
        </is>
      </c>
      <c r="D9" s="6" t="inlineStr">
        <is>
          <t>Core Business Use Case &amp; Technical Capability</t>
        </is>
      </c>
      <c r="E9" s="6" t="inlineStr">
        <is>
          <t>DevAuthController</t>
        </is>
      </c>
      <c r="F9" s="6" t="inlineStr">
        <is>
          <t>Dev login quick buttons</t>
        </is>
      </c>
      <c r="G9" s="6" t="inlineStr">
        <is>
          <t>None</t>
        </is>
      </c>
      <c r="H9" s="6" t="inlineStr">
        <is>
          <t>/api/v1/auth/dev/** permitted in SecurityConfig</t>
        </is>
      </c>
      <c r="I9" s="6" t="inlineStr">
        <is>
          <t>IMPLEMENTED_EVIDENCE_FOUND</t>
        </is>
      </c>
      <c r="J9" s="6" t="inlineStr">
        <is>
          <t>AUTOMATED_TESTS_ONLY</t>
        </is>
      </c>
      <c r="K9" s="8" t="inlineStr">
        <is>
          <t>HIGH</t>
        </is>
      </c>
      <c r="L9" s="6" t="inlineStr">
        <is>
          <t>Part of 49 granular technical inventory (represents 27 core SRS business use cases). CRITICAL SECURITY NOTE: Must be disabled or profile-locked in production</t>
        </is>
      </c>
    </row>
    <row r="10" ht="20" customHeight="1">
      <c r="A10" s="5" t="inlineStr">
        <is>
          <t>M2</t>
        </is>
      </c>
      <c r="B10" s="5" t="inlineStr">
        <is>
          <t>M2-F01</t>
        </is>
      </c>
      <c r="C10" s="5" t="inlineStr">
        <is>
          <t>Retreat Package Browsing &amp; Filtering</t>
        </is>
      </c>
      <c r="D10" s="5" t="inlineStr">
        <is>
          <t>Core Business Use Case &amp; Technical Capability</t>
        </is>
      </c>
      <c r="E10" s="5" t="inlineStr">
        <is>
          <t>RetreatPackageController; RetreatPackageService</t>
        </is>
      </c>
      <c r="F10" s="5" t="inlineStr">
        <is>
          <t>RetreatListPage; RetreatDetailPage</t>
        </is>
      </c>
      <c r="G10" s="5" t="inlineStr">
        <is>
          <t>dbo.RetreatPackage; dbo.PackageVillaCategoryMapping</t>
        </is>
      </c>
      <c r="H10" s="5" t="inlineStr">
        <is>
          <t>M2SchemaCompatibilityTest (6/6 pass)</t>
        </is>
      </c>
      <c r="I10" s="5" t="inlineStr">
        <is>
          <t>IMPLEMENTED_EVIDENCE_FOUND</t>
        </is>
      </c>
      <c r="J10" s="5" t="inlineStr">
        <is>
          <t>AUTOMATED_TESTS_ONLY</t>
        </is>
      </c>
      <c r="K10" s="8" t="inlineStr">
        <is>
          <t>HIGH</t>
        </is>
      </c>
      <c r="L10" s="5" t="inlineStr">
        <is>
          <t>Part of 49 granular technical inventory (represents 27 core SRS business use cases). Public browsing verified against mock/in-memory data</t>
        </is>
      </c>
    </row>
    <row r="11" ht="20" customHeight="1">
      <c r="A11" s="6" t="inlineStr">
        <is>
          <t>M2</t>
        </is>
      </c>
      <c r="B11" s="6" t="inlineStr">
        <is>
          <t>M2-F02</t>
        </is>
      </c>
      <c r="C11" s="6" t="inlineStr">
        <is>
          <t>Public Retreat Booking Creation &amp; Pricing</t>
        </is>
      </c>
      <c r="D11" s="6" t="inlineStr">
        <is>
          <t>Core Business Use Case &amp; Technical Capability</t>
        </is>
      </c>
      <c r="E11" s="6" t="inlineStr">
        <is>
          <t>RetreatBookingController; RetreatBookingService; BookingPolicyService</t>
        </is>
      </c>
      <c r="F11" s="6" t="inlineStr">
        <is>
          <t>RetreatBookingPage; BookingSummaryPage</t>
        </is>
      </c>
      <c r="G11" s="6" t="inlineStr">
        <is>
          <t>dbo.RetreatBooking; dbo.VillaCategory</t>
        </is>
      </c>
      <c r="H11" s="6" t="inlineStr">
        <is>
          <t>RetreatBookingServiceTest; BookingPolicyService pass</t>
        </is>
      </c>
      <c r="I11" s="6" t="inlineStr">
        <is>
          <t>IMPLEMENTED_EVIDENCE_FOUND</t>
        </is>
      </c>
      <c r="J11" s="6" t="inlineStr">
        <is>
          <t>AUTOMATED_TESTS_ONLY</t>
        </is>
      </c>
      <c r="K11" s="8" t="inlineStr">
        <is>
          <t>HIGH</t>
        </is>
      </c>
      <c r="L11" s="6" t="inlineStr">
        <is>
          <t>Part of 49 granular technical inventory (represents 27 core SRS business use cases). Deposit calculation verified; inventory check enforced</t>
        </is>
      </c>
    </row>
    <row r="12" ht="20" customHeight="1">
      <c r="A12" s="5" t="inlineStr">
        <is>
          <t>M2</t>
        </is>
      </c>
      <c r="B12" s="5" t="inlineStr">
        <is>
          <t>M2-F03</t>
        </is>
      </c>
      <c r="C12" s="5" t="inlineStr">
        <is>
          <t>VNPay Deposit Payment Gateway Integration</t>
        </is>
      </c>
      <c r="D12" s="5" t="inlineStr">
        <is>
          <t>Core Business Use Case &amp; Technical Capability</t>
        </is>
      </c>
      <c r="E12" s="5" t="inlineStr">
        <is>
          <t>VNPayDepositService; VNPayCallbackController</t>
        </is>
      </c>
      <c r="F12" s="5" t="inlineStr">
        <is>
          <t>DepositPaymentResultPage; retreatBookingApi</t>
        </is>
      </c>
      <c r="G12" s="5" t="inlineStr">
        <is>
          <t>dbo.PaymentTransaction; dbo.RetreatBooking</t>
        </is>
      </c>
      <c r="H12" s="5" t="inlineStr">
        <is>
          <t>VNPayDepositServiceTest; checksum unit tests pass</t>
        </is>
      </c>
      <c r="I12" s="5" t="inlineStr">
        <is>
          <t>IMPLEMENTED_EVIDENCE_FOUND</t>
        </is>
      </c>
      <c r="J12" s="5" t="inlineStr">
        <is>
          <t>NOT_RUNTIME_VERIFIED</t>
        </is>
      </c>
      <c r="K12" s="8" t="inlineStr">
        <is>
          <t>HIGH</t>
        </is>
      </c>
      <c r="L12" s="5" t="inlineStr">
        <is>
          <t>Part of 49 granular technical inventory (represents 27 core SRS business use cases). HMAC-SHA512 checksum algorithms verified; live VNPay gateway redirect pending staging</t>
        </is>
      </c>
    </row>
    <row r="13" ht="20" customHeight="1">
      <c r="A13" s="6" t="inlineStr">
        <is>
          <t>M2</t>
        </is>
      </c>
      <c r="B13" s="6" t="inlineStr">
        <is>
          <t>M2-F04</t>
        </is>
      </c>
      <c r="C13" s="6" t="inlineStr">
        <is>
          <t>Receptionist Daily Arrivals &amp; Check-in/out</t>
        </is>
      </c>
      <c r="D13" s="6" t="inlineStr">
        <is>
          <t>Core Business Use Case &amp; Technical Capability</t>
        </is>
      </c>
      <c r="E13" s="6" t="inlineStr">
        <is>
          <t>ReceptionistOperationController; ReceptionistOperationService</t>
        </is>
      </c>
      <c r="F13" s="6" t="inlineStr">
        <is>
          <t>DailyArrivalsPage; CheckInPage; ReceptionistBookingsPage</t>
        </is>
      </c>
      <c r="G13" s="6" t="inlineStr">
        <is>
          <t>dbo.RetreatBooking; dbo.ResidenceRecord</t>
        </is>
      </c>
      <c r="H13" s="6" t="inlineStr">
        <is>
          <t>ReceptionistOperationServiceTest (5/5 pass)</t>
        </is>
      </c>
      <c r="I13" s="6" t="inlineStr">
        <is>
          <t>IMPLEMENTED_EVIDENCE_FOUND</t>
        </is>
      </c>
      <c r="J13" s="6" t="inlineStr">
        <is>
          <t>AUTOMATED_TESTS_ONLY</t>
        </is>
      </c>
      <c r="K13" s="8" t="inlineStr">
        <is>
          <t>HIGH</t>
        </is>
      </c>
      <c r="L13" s="6" t="inlineStr">
        <is>
          <t>Part of 49 granular technical inventory (represents 27 core SRS business use cases). Walk-in booking and guest identity registration supported</t>
        </is>
      </c>
    </row>
    <row r="14" ht="20" customHeight="1">
      <c r="A14" s="5" t="inlineStr">
        <is>
          <t>M2</t>
        </is>
      </c>
      <c r="B14" s="5" t="inlineStr">
        <is>
          <t>M2-F05</t>
        </is>
      </c>
      <c r="C14" s="5" t="inlineStr">
        <is>
          <t>Villa Availability &amp; Room Assignment</t>
        </is>
      </c>
      <c r="D14" s="5" t="inlineStr">
        <is>
          <t>Core Business Use Case &amp; Technical Capability</t>
        </is>
      </c>
      <c r="E14" s="5" t="inlineStr">
        <is>
          <t>VillaAvailabilityService; ReceptionistOperationService</t>
        </is>
      </c>
      <c r="F14" s="5" t="inlineStr">
        <is>
          <t>VillaAssignmentPage; VillaStatusPage</t>
        </is>
      </c>
      <c r="G14" s="5" t="inlineStr">
        <is>
          <t>dbo.PhysicalVilla; dbo.VillaCategory</t>
        </is>
      </c>
      <c r="H14" s="5" t="inlineStr">
        <is>
          <t>VillaAvailabilityServiceTest pass</t>
        </is>
      </c>
      <c r="I14" s="5" t="inlineStr">
        <is>
          <t>IMPLEMENTED_EVIDENCE_FOUND</t>
        </is>
      </c>
      <c r="J14" s="5" t="inlineStr">
        <is>
          <t>AUTOMATED_TESTS_ONLY</t>
        </is>
      </c>
      <c r="K14" s="8" t="inlineStr">
        <is>
          <t>HIGH</t>
        </is>
      </c>
      <c r="L14" s="5" t="inlineStr">
        <is>
          <t>Part of 49 granular technical inventory (represents 27 core SRS business use cases). Clean room assignment flow; live concurrency locking requires SQL Server test</t>
        </is>
      </c>
    </row>
    <row r="15" ht="20" customHeight="1">
      <c r="A15" s="6" t="inlineStr">
        <is>
          <t>M2</t>
        </is>
      </c>
      <c r="B15" s="6" t="inlineStr">
        <is>
          <t>M2-F06</t>
        </is>
      </c>
      <c r="C15" s="6" t="inlineStr">
        <is>
          <t>Physical Villa &amp; Category Inventory</t>
        </is>
      </c>
      <c r="D15" s="6" t="inlineStr">
        <is>
          <t>Core Business Use Case &amp; Technical Capability</t>
        </is>
      </c>
      <c r="E15" s="6" t="inlineStr">
        <is>
          <t>VillaInventoryController; PhysicalVillaRepository</t>
        </is>
      </c>
      <c r="F15" s="6" t="inlineStr">
        <is>
          <t>VillaManagementPage (manager)</t>
        </is>
      </c>
      <c r="G15" s="6" t="inlineStr">
        <is>
          <t>dbo.PhysicalVilla; dbo.VillaCategory</t>
        </is>
      </c>
      <c r="H15" s="6" t="inlineStr">
        <is>
          <t>M2SchemaCompatibilityTest pass</t>
        </is>
      </c>
      <c r="I15" s="6" t="inlineStr">
        <is>
          <t>IMPLEMENTED_EVIDENCE_FOUND</t>
        </is>
      </c>
      <c r="J15" s="6" t="inlineStr">
        <is>
          <t>AUTOMATED_TESTS_ONLY</t>
        </is>
      </c>
      <c r="K15" s="8" t="inlineStr">
        <is>
          <t>HIGH</t>
        </is>
      </c>
      <c r="L15" s="6" t="inlineStr">
        <is>
          <t>Part of 49 granular technical inventory (represents 27 core SRS business use cases). Full master inventory models supported</t>
        </is>
      </c>
    </row>
    <row r="16" ht="20" customHeight="1">
      <c r="A16" s="5" t="inlineStr">
        <is>
          <t>M2</t>
        </is>
      </c>
      <c r="B16" s="5" t="inlineStr">
        <is>
          <t>M2-F07</t>
        </is>
      </c>
      <c r="C16" s="5" t="inlineStr">
        <is>
          <t>Customer Stay &amp; Identity Port Integration</t>
        </is>
      </c>
      <c r="D16" s="5" t="inlineStr">
        <is>
          <t>Core Business Use Case &amp; Technical Capability</t>
        </is>
      </c>
      <c r="E16" s="5" t="inlineStr">
        <is>
          <t>CustomerIdentityPort; JdbcCustomerIdentityAdapter</t>
        </is>
      </c>
      <c r="F16" s="5" t="inlineStr">
        <is>
          <t>CustomerContext</t>
        </is>
      </c>
      <c r="G16" s="5" t="inlineStr">
        <is>
          <t>dbo.User; dbo.CustomerProfile</t>
        </is>
      </c>
      <c r="H16" s="5" t="inlineStr">
        <is>
          <t>M2SchemaCompatibilityTest pass</t>
        </is>
      </c>
      <c r="I16" s="5" t="inlineStr">
        <is>
          <t>IMPLEMENTED_EVIDENCE_FOUND</t>
        </is>
      </c>
      <c r="J16" s="5" t="inlineStr">
        <is>
          <t>AUTOMATED_TESTS_ONLY</t>
        </is>
      </c>
      <c r="K16" s="8" t="inlineStr">
        <is>
          <t>HIGH</t>
        </is>
      </c>
      <c r="L16" s="5" t="inlineStr">
        <is>
          <t>Part of 49 granular technical inventory (represents 27 core SRS business use cases). Adapts customer identity across booking boundaries</t>
        </is>
      </c>
    </row>
    <row r="17" ht="20" customHeight="1">
      <c r="A17" s="6" t="inlineStr">
        <is>
          <t>M3</t>
        </is>
      </c>
      <c r="B17" s="6" t="inlineStr">
        <is>
          <t>M3-F01</t>
        </is>
      </c>
      <c r="C17" s="6" t="inlineStr">
        <is>
          <t>Spa Treatment Catalog &amp; Duration</t>
        </is>
      </c>
      <c r="D17" s="6" t="inlineStr">
        <is>
          <t>Core Business Use Case &amp; Technical Capability</t>
        </is>
      </c>
      <c r="E17" s="6" t="inlineStr">
        <is>
          <t>SpaTreatmentController; SpaService</t>
        </is>
      </c>
      <c r="F17" s="6" t="inlineStr">
        <is>
          <t>SpaTreatmentListPage; mockSpaInventory</t>
        </is>
      </c>
      <c r="G17" s="6" t="inlineStr">
        <is>
          <t>dbo.SpaTreatment; dbo.TreatmentRoom</t>
        </is>
      </c>
      <c r="H17" s="6" t="inlineStr">
        <is>
          <t>SpaServiceTests (12/12 pass)</t>
        </is>
      </c>
      <c r="I17" s="6" t="inlineStr">
        <is>
          <t>IMPLEMENTED_EVIDENCE_FOUND</t>
        </is>
      </c>
      <c r="J17" s="6" t="inlineStr">
        <is>
          <t>AUTOMATED_TESTS_ONLY</t>
        </is>
      </c>
      <c r="K17" s="8" t="inlineStr">
        <is>
          <t>HIGH</t>
        </is>
      </c>
      <c r="L17" s="6" t="inlineStr">
        <is>
          <t>Part of 49 granular technical inventory (represents 27 core SRS business use cases). Treatment catalog duration and pricing verified</t>
        </is>
      </c>
    </row>
    <row r="18" ht="20" customHeight="1">
      <c r="A18" s="5" t="inlineStr">
        <is>
          <t>M3</t>
        </is>
      </c>
      <c r="B18" s="5" t="inlineStr">
        <is>
          <t>M3-F02</t>
        </is>
      </c>
      <c r="C18" s="5" t="inlineStr">
        <is>
          <t>Spa Treatment Booking &amp; Slot Selection</t>
        </is>
      </c>
      <c r="D18" s="5" t="inlineStr">
        <is>
          <t>Core Business Use Case &amp; Technical Capability</t>
        </is>
      </c>
      <c r="E18" s="5" t="inlineStr">
        <is>
          <t>SpaBookingController; SpaService</t>
        </is>
      </c>
      <c r="F18" s="5" t="inlineStr">
        <is>
          <t>SpaBookingPage; SpaConfirmationPage</t>
        </is>
      </c>
      <c r="G18" s="5" t="inlineStr">
        <is>
          <t>dbo.SpaSession; dbo.SpaTreatment; dbo.Therapist</t>
        </is>
      </c>
      <c r="H18" s="5" t="inlineStr">
        <is>
          <t>SpaServiceTests pass</t>
        </is>
      </c>
      <c r="I18" s="5" t="inlineStr">
        <is>
          <t>IMPLEMENTED_EVIDENCE_FOUND</t>
        </is>
      </c>
      <c r="J18" s="5" t="inlineStr">
        <is>
          <t>AUTOMATED_TESTS_ONLY</t>
        </is>
      </c>
      <c r="K18" s="8" t="inlineStr">
        <is>
          <t>HIGH</t>
        </is>
      </c>
      <c r="L18" s="5" t="inlineStr">
        <is>
          <t>Part of 49 granular technical inventory (represents 27 core SRS business use cases). Session scheduling against room and therapist availability</t>
        </is>
      </c>
    </row>
    <row r="19" ht="20" customHeight="1">
      <c r="A19" s="6" t="inlineStr">
        <is>
          <t>M3</t>
        </is>
      </c>
      <c r="B19" s="6" t="inlineStr">
        <is>
          <t>M3-F03</t>
        </is>
      </c>
      <c r="C19" s="6" t="inlineStr">
        <is>
          <t>Alternative Slot Suggestion on Conflict</t>
        </is>
      </c>
      <c r="D19" s="6" t="inlineStr">
        <is>
          <t>Core Business Use Case &amp; Technical Capability</t>
        </is>
      </c>
      <c r="E19" s="6" t="inlineStr">
        <is>
          <t>SpaBookingController; SpaService</t>
        </is>
      </c>
      <c r="F19" s="6" t="inlineStr">
        <is>
          <t>SpaAlternativeSlotsPage</t>
        </is>
      </c>
      <c r="G19" s="6" t="inlineStr">
        <is>
          <t>dbo.SpaSession; dbo.TherapistSchedule</t>
        </is>
      </c>
      <c r="H19" s="6" t="inlineStr">
        <is>
          <t>SpaServiceTests pass</t>
        </is>
      </c>
      <c r="I19" s="6" t="inlineStr">
        <is>
          <t>IMPLEMENTED_EVIDENCE_FOUND</t>
        </is>
      </c>
      <c r="J19" s="6" t="inlineStr">
        <is>
          <t>AUTOMATED_TESTS_ONLY</t>
        </is>
      </c>
      <c r="K19" s="8" t="inlineStr">
        <is>
          <t>HIGH</t>
        </is>
      </c>
      <c r="L19" s="6" t="inlineStr">
        <is>
          <t>Part of 49 granular technical inventory (represents 27 core SRS business use cases). Algorithm suggests next available time window</t>
        </is>
      </c>
    </row>
    <row r="20" ht="20" customHeight="1">
      <c r="A20" s="5" t="inlineStr">
        <is>
          <t>M3</t>
        </is>
      </c>
      <c r="B20" s="5" t="inlineStr">
        <is>
          <t>M3-F04</t>
        </is>
      </c>
      <c r="C20" s="5" t="inlineStr">
        <is>
          <t>Receptionist Manual Extra Spa Booking</t>
        </is>
      </c>
      <c r="D20" s="5" t="inlineStr">
        <is>
          <t>Core Business Use Case &amp; Technical Capability</t>
        </is>
      </c>
      <c r="E20" s="5" t="inlineStr">
        <is>
          <t>SpaBookingController; SpaService</t>
        </is>
      </c>
      <c r="F20" s="5" t="inlineStr">
        <is>
          <t>ManualExtraSpaPage</t>
        </is>
      </c>
      <c r="G20" s="5" t="inlineStr">
        <is>
          <t>dbo.SpaSession; dbo.RetreatBooking</t>
        </is>
      </c>
      <c r="H20" s="5" t="inlineStr">
        <is>
          <t>SpaSecurityTests pass</t>
        </is>
      </c>
      <c r="I20" s="5" t="inlineStr">
        <is>
          <t>IMPLEMENTED_EVIDENCE_FOUND</t>
        </is>
      </c>
      <c r="J20" s="5" t="inlineStr">
        <is>
          <t>AUTOMATED_TESTS_ONLY</t>
        </is>
      </c>
      <c r="K20" s="8" t="inlineStr">
        <is>
          <t>HIGH</t>
        </is>
      </c>
      <c r="L20" s="5" t="inlineStr">
        <is>
          <t>Part of 49 granular technical inventory (represents 27 core SRS business use cases). Staff manual booking on behalf of active in-house guest</t>
        </is>
      </c>
    </row>
    <row r="21" ht="20" customHeight="1">
      <c r="A21" s="6" t="inlineStr">
        <is>
          <t>M3</t>
        </is>
      </c>
      <c r="B21" s="6" t="inlineStr">
        <is>
          <t>M3-F05</t>
        </is>
      </c>
      <c r="C21" s="6" t="inlineStr">
        <is>
          <t>Therapist Schedule &amp; Session Status</t>
        </is>
      </c>
      <c r="D21" s="6" t="inlineStr">
        <is>
          <t>Core Business Use Case &amp; Technical Capability</t>
        </is>
      </c>
      <c r="E21" s="6" t="inlineStr">
        <is>
          <t>TherapistController; SpaService</t>
        </is>
      </c>
      <c r="F21" s="6" t="inlineStr">
        <is>
          <t>TherapistDashboardPage; TherapistSchedulePage; TherapistSessionDetailPage</t>
        </is>
      </c>
      <c r="G21" s="6" t="inlineStr">
        <is>
          <t>dbo.SpaSession; dbo.Therapist</t>
        </is>
      </c>
      <c r="H21" s="6" t="inlineStr">
        <is>
          <t>SpaServiceTests pass</t>
        </is>
      </c>
      <c r="I21" s="6" t="inlineStr">
        <is>
          <t>IMPLEMENTED_EVIDENCE_FOUND</t>
        </is>
      </c>
      <c r="J21" s="6" t="inlineStr">
        <is>
          <t>AUTOMATED_TESTS_ONLY</t>
        </is>
      </c>
      <c r="K21" s="8" t="inlineStr">
        <is>
          <t>HIGH</t>
        </is>
      </c>
      <c r="L21" s="6" t="inlineStr">
        <is>
          <t>Part of 49 granular technical inventory (represents 27 core SRS business use cases). Therapist marks session In-Progress/Completed/No-Show</t>
        </is>
      </c>
    </row>
    <row r="22" ht="20" customHeight="1">
      <c r="A22" s="5" t="inlineStr">
        <is>
          <t>M3</t>
        </is>
      </c>
      <c r="B22" s="5" t="inlineStr">
        <is>
          <t>M3-F06</t>
        </is>
      </c>
      <c r="C22" s="5" t="inlineStr">
        <is>
          <t>Manager Spa Treatment Master Data</t>
        </is>
      </c>
      <c r="D22" s="5" t="inlineStr">
        <is>
          <t>Core Business Use Case &amp; Technical Capability</t>
        </is>
      </c>
      <c r="E22" s="5" t="inlineStr">
        <is>
          <t>SpaMasterController; SpaService</t>
        </is>
      </c>
      <c r="F22" s="5" t="inlineStr">
        <is>
          <t>SpaManagementPage; AddSpaTreatmentModal</t>
        </is>
      </c>
      <c r="G22" s="5" t="inlineStr">
        <is>
          <t>dbo.SpaTreatment; dbo.RetreatPackageSpaTreatment</t>
        </is>
      </c>
      <c r="H22" s="5" t="inlineStr">
        <is>
          <t>SpaServiceTests pass</t>
        </is>
      </c>
      <c r="I22" s="5" t="inlineStr">
        <is>
          <t>IMPLEMENTED_EVIDENCE_FOUND</t>
        </is>
      </c>
      <c r="J22" s="5" t="inlineStr">
        <is>
          <t>AUTOMATED_TESTS_ONLY</t>
        </is>
      </c>
      <c r="K22" s="8" t="inlineStr">
        <is>
          <t>HIGH</t>
        </is>
      </c>
      <c r="L22" s="5" t="inlineStr">
        <is>
          <t>Part of 49 granular technical inventory (represents 27 core SRS business use cases). Manager can create/edit treatments and package allocations</t>
        </is>
      </c>
    </row>
    <row r="23" ht="20" customHeight="1">
      <c r="A23" s="6" t="inlineStr">
        <is>
          <t>M3</t>
        </is>
      </c>
      <c r="B23" s="6" t="inlineStr">
        <is>
          <t>M3-F07</t>
        </is>
      </c>
      <c r="C23" s="6" t="inlineStr">
        <is>
          <t>Cross-Module Active Customer Stay Resolution</t>
        </is>
      </c>
      <c r="D23" s="6" t="inlineStr">
        <is>
          <t>Core Business Use Case &amp; Technical Capability</t>
        </is>
      </c>
      <c r="E23" s="6" t="inlineStr">
        <is>
          <t>CustomerStayPort; DefaultCustomerStayAdapter</t>
        </is>
      </c>
      <c r="F23" s="6" t="inlineStr">
        <is>
          <t>CustomerContext</t>
        </is>
      </c>
      <c r="G23" s="6" t="inlineStr">
        <is>
          <t>dbo.RetreatBooking; dbo.ResidenceRecord; dbo.User</t>
        </is>
      </c>
      <c r="H23" s="6" t="inlineStr">
        <is>
          <t>HswrmsApplicationTests &amp; M2SchemaCompatibilityTest pass</t>
        </is>
      </c>
      <c r="I23" s="6" t="inlineStr">
        <is>
          <t>IMPLEMENTED_EVIDENCE_FOUND</t>
        </is>
      </c>
      <c r="J23" s="6" t="inlineStr">
        <is>
          <t>AUTOMATED_TESTS_ONLY</t>
        </is>
      </c>
      <c r="K23" s="8" t="inlineStr">
        <is>
          <t>HIGH</t>
        </is>
      </c>
      <c r="L23" s="6" t="inlineStr">
        <is>
          <t>Part of 49 granular technical inventory (represents 27 core SRS business use cases). Fixed H2 MSSQLServer mode in Phase 118; resolves active stay for folio/spa/dining</t>
        </is>
      </c>
    </row>
    <row r="24" ht="20" customHeight="1">
      <c r="A24" s="5" t="inlineStr">
        <is>
          <t>M4</t>
        </is>
      </c>
      <c r="B24" s="5" t="inlineStr">
        <is>
          <t>M4-F01</t>
        </is>
      </c>
      <c r="C24" s="5" t="inlineStr">
        <is>
          <t>Dietary &amp; Wellness Menu Catalog</t>
        </is>
      </c>
      <c r="D24" s="5" t="inlineStr">
        <is>
          <t>Core Business Use Case &amp; Technical Capability</t>
        </is>
      </c>
      <c r="E24" s="5" t="inlineStr">
        <is>
          <t>MenuController; MenuService</t>
        </is>
      </c>
      <c r="F24" s="5" t="inlineStr">
        <is>
          <t>DietaryMenuPage; mockDining</t>
        </is>
      </c>
      <c r="G24" s="5" t="inlineStr">
        <is>
          <t>dbo.MenuItem; dbo.MenuCategory</t>
        </is>
      </c>
      <c r="H24" s="5" t="inlineStr">
        <is>
          <t>MenuServiceTest (4/4 pass)</t>
        </is>
      </c>
      <c r="I24" s="5" t="inlineStr">
        <is>
          <t>IMPLEMENTED_EVIDENCE_FOUND</t>
        </is>
      </c>
      <c r="J24" s="5" t="inlineStr">
        <is>
          <t>AUTOMATED_TESTS_ONLY</t>
        </is>
      </c>
      <c r="K24" s="8" t="inlineStr">
        <is>
          <t>HIGH</t>
        </is>
      </c>
      <c r="L24" s="5" t="inlineStr">
        <is>
          <t>Part of 49 granular technical inventory (represents 27 core SRS business use cases). Menus with calorie count macros and dietary tags</t>
        </is>
      </c>
    </row>
    <row r="25" ht="20" customHeight="1">
      <c r="A25" s="6" t="inlineStr">
        <is>
          <t>M4</t>
        </is>
      </c>
      <c r="B25" s="6" t="inlineStr">
        <is>
          <t>M4-F02</t>
        </is>
      </c>
      <c r="C25" s="6" t="inlineStr">
        <is>
          <t>Customer Allergy &amp; Dietary Filtering</t>
        </is>
      </c>
      <c r="D25" s="6" t="inlineStr">
        <is>
          <t>Core Business Use Case &amp; Technical Capability</t>
        </is>
      </c>
      <c r="E25" s="6" t="inlineStr">
        <is>
          <t>MenuService; TextEncodingSanitizer</t>
        </is>
      </c>
      <c r="F25" s="6" t="inlineStr">
        <is>
          <t>dietaryFilter.ts; DietaryMenuPage</t>
        </is>
      </c>
      <c r="G25" s="6" t="inlineStr">
        <is>
          <t>dbo.FoodAllergy; dbo.DietaryRequirement</t>
        </is>
      </c>
      <c r="H25" s="6" t="inlineStr">
        <is>
          <t>MenuServiceTest pass</t>
        </is>
      </c>
      <c r="I25" s="6" t="inlineStr">
        <is>
          <t>IMPLEMENTED_EVIDENCE_FOUND</t>
        </is>
      </c>
      <c r="J25" s="6" t="inlineStr">
        <is>
          <t>AUTOMATED_TESTS_ONLY</t>
        </is>
      </c>
      <c r="K25" s="8" t="inlineStr">
        <is>
          <t>HIGH</t>
        </is>
      </c>
      <c r="L25" s="6" t="inlineStr">
        <is>
          <t>Part of 49 granular technical inventory (represents 27 core SRS business use cases). Client and server filters prevent allergenic item ordering</t>
        </is>
      </c>
    </row>
    <row r="26" ht="20" customHeight="1">
      <c r="A26" s="5" t="inlineStr">
        <is>
          <t>M4</t>
        </is>
      </c>
      <c r="B26" s="5" t="inlineStr">
        <is>
          <t>M4-F03</t>
        </is>
      </c>
      <c r="C26" s="5" t="inlineStr">
        <is>
          <t>Customer Daily Meal Selection Flow</t>
        </is>
      </c>
      <c r="D26" s="5" t="inlineStr">
        <is>
          <t>Core Business Use Case &amp; Technical Capability</t>
        </is>
      </c>
      <c r="E26" s="5" t="inlineStr">
        <is>
          <t>MealOrderController; MealOrderService</t>
        </is>
      </c>
      <c r="F26" s="5" t="inlineStr">
        <is>
          <t>DailyMealSelectionPage; MyMealPlanPage</t>
        </is>
      </c>
      <c r="G26" s="5" t="inlineStr">
        <is>
          <t>dbo.MealOrder; dbo.MealOrderItem</t>
        </is>
      </c>
      <c r="H26" s="5" t="inlineStr">
        <is>
          <t>MealOrderServiceTest (6/6 pass)</t>
        </is>
      </c>
      <c r="I26" s="5" t="inlineStr">
        <is>
          <t>IMPLEMENTED_EVIDENCE_FOUND</t>
        </is>
      </c>
      <c r="J26" s="5" t="inlineStr">
        <is>
          <t>AUTOMATED_TESTS_ONLY</t>
        </is>
      </c>
      <c r="K26" s="8" t="inlineStr">
        <is>
          <t>HIGH</t>
        </is>
      </c>
      <c r="L26" s="5" t="inlineStr">
        <is>
          <t>Part of 49 granular technical inventory (represents 27 core SRS business use cases). Guests select breakfast/lunch/dinner within retreat allowance</t>
        </is>
      </c>
    </row>
    <row r="27" ht="20" customHeight="1">
      <c r="A27" s="6" t="inlineStr">
        <is>
          <t>M4</t>
        </is>
      </c>
      <c r="B27" s="6" t="inlineStr">
        <is>
          <t>M4-F04</t>
        </is>
      </c>
      <c r="C27" s="6" t="inlineStr">
        <is>
          <t>Extra A-la-Carte Meal Ordering</t>
        </is>
      </c>
      <c r="D27" s="6" t="inlineStr">
        <is>
          <t>Core Business Use Case &amp; Technical Capability</t>
        </is>
      </c>
      <c r="E27" s="6" t="inlineStr">
        <is>
          <t>FnbCustomerOrderController; MealOrderService</t>
        </is>
      </c>
      <c r="F27" s="6" t="inlineStr">
        <is>
          <t>AlaCarteOrderPage</t>
        </is>
      </c>
      <c r="G27" s="6" t="inlineStr">
        <is>
          <t>dbo.MealOrder; dbo.MealOrderItem</t>
        </is>
      </c>
      <c r="H27" s="6" t="inlineStr">
        <is>
          <t>FnbBillingIntegrationTest (2/2 pass)</t>
        </is>
      </c>
      <c r="I27" s="6" t="inlineStr">
        <is>
          <t>IMPLEMENTED_EVIDENCE_FOUND</t>
        </is>
      </c>
      <c r="J27" s="6" t="inlineStr">
        <is>
          <t>AUTOMATED_TESTS_ONLY</t>
        </is>
      </c>
      <c r="K27" s="8" t="inlineStr">
        <is>
          <t>HIGH</t>
        </is>
      </c>
      <c r="L27" s="6" t="inlineStr">
        <is>
          <t>Part of 49 granular technical inventory (represents 27 core SRS business use cases). Extra charges flagged for folio aggregation in M5</t>
        </is>
      </c>
    </row>
    <row r="28" ht="20" customHeight="1">
      <c r="A28" s="5" t="inlineStr">
        <is>
          <t>M4</t>
        </is>
      </c>
      <c r="B28" s="5" t="inlineStr">
        <is>
          <t>M4-F05</t>
        </is>
      </c>
      <c r="C28" s="5" t="inlineStr">
        <is>
          <t>Kitchen Display System (KDS) &amp; Order Lifecycle</t>
        </is>
      </c>
      <c r="D28" s="5" t="inlineStr">
        <is>
          <t>Core Business Use Case &amp; Technical Capability</t>
        </is>
      </c>
      <c r="E28" s="5" t="inlineStr">
        <is>
          <t>FnbKdsController; FnbKdsOrderService</t>
        </is>
      </c>
      <c r="F28" s="5" t="inlineStr">
        <is>
          <t>FnbDashboardPage</t>
        </is>
      </c>
      <c r="G28" s="5" t="inlineStr">
        <is>
          <t>dbo.MealOrder (status enum)</t>
        </is>
      </c>
      <c r="H28" s="5" t="inlineStr">
        <is>
          <t>FnbKdsOrderServiceTest pass</t>
        </is>
      </c>
      <c r="I28" s="5" t="inlineStr">
        <is>
          <t>IMPLEMENTED_EVIDENCE_FOUND</t>
        </is>
      </c>
      <c r="J28" s="5" t="inlineStr">
        <is>
          <t>AUTOMATED_TESTS_ONLY</t>
        </is>
      </c>
      <c r="K28" s="8" t="inlineStr">
        <is>
          <t>HIGH</t>
        </is>
      </c>
      <c r="L28" s="5" t="inlineStr">
        <is>
          <t>Part of 49 granular technical inventory (represents 27 core SRS business use cases). Real-time status transitions: Placed -&gt; Preparing -&gt; Ready -&gt; Delivered</t>
        </is>
      </c>
    </row>
    <row r="29" ht="20" customHeight="1">
      <c r="A29" s="6" t="inlineStr">
        <is>
          <t>M4</t>
        </is>
      </c>
      <c r="B29" s="6" t="inlineStr">
        <is>
          <t>M4-F06</t>
        </is>
      </c>
      <c r="C29" s="6" t="inlineStr">
        <is>
          <t>Chef Meal Preparation List &amp; Allergy Warnings</t>
        </is>
      </c>
      <c r="D29" s="6" t="inlineStr">
        <is>
          <t>Core Business Use Case &amp; Technical Capability</t>
        </is>
      </c>
      <c r="E29" s="6" t="inlineStr">
        <is>
          <t>FnbDashboardController; FnbDashboardService</t>
        </is>
      </c>
      <c r="F29" s="6" t="inlineStr">
        <is>
          <t>MealPrepListPage; MealOrderDetailPage</t>
        </is>
      </c>
      <c r="G29" s="6" t="inlineStr">
        <is>
          <t>dbo.MealOrder; dbo.MealOrderItem</t>
        </is>
      </c>
      <c r="H29" s="6" t="inlineStr">
        <is>
          <t>FnbDashboardServiceTest pass</t>
        </is>
      </c>
      <c r="I29" s="6" t="inlineStr">
        <is>
          <t>IMPLEMENTED_EVIDENCE_FOUND</t>
        </is>
      </c>
      <c r="J29" s="6" t="inlineStr">
        <is>
          <t>AUTOMATED_TESTS_ONLY</t>
        </is>
      </c>
      <c r="K29" s="8" t="inlineStr">
        <is>
          <t>HIGH</t>
        </is>
      </c>
      <c r="L29" s="6" t="inlineStr">
        <is>
          <t>Part of 49 granular technical inventory (represents 27 core SRS business use cases). Highlights severe allergies and dietary alerts to kitchen staff</t>
        </is>
      </c>
    </row>
    <row r="30" ht="20" customHeight="1">
      <c r="A30" s="5" t="inlineStr">
        <is>
          <t>M4</t>
        </is>
      </c>
      <c r="B30" s="5" t="inlineStr">
        <is>
          <t>M4-F07</t>
        </is>
      </c>
      <c r="C30" s="5" t="inlineStr">
        <is>
          <t>Recipe Ingredients &amp; Stock Inventory Deduction</t>
        </is>
      </c>
      <c r="D30" s="5" t="inlineStr">
        <is>
          <t>Core Business Use Case &amp; Technical Capability</t>
        </is>
      </c>
      <c r="E30" s="5" t="inlineStr">
        <is>
          <t>IngredientController; InventoryService</t>
        </is>
      </c>
      <c r="F30" s="5" t="inlineStr">
        <is>
          <t>MealPrepListPage (stock alerts)</t>
        </is>
      </c>
      <c r="G30" s="5" t="inlineStr">
        <is>
          <t>dbo.Ingredient; dbo.RecipeIngredient; dbo.InventoryTransaction</t>
        </is>
      </c>
      <c r="H30" s="5" t="inlineStr">
        <is>
          <t>InventoryServiceTest (8/8 pass)</t>
        </is>
      </c>
      <c r="I30" s="5" t="inlineStr">
        <is>
          <t>IMPLEMENTED_EVIDENCE_FOUND</t>
        </is>
      </c>
      <c r="J30" s="5" t="inlineStr">
        <is>
          <t>AUTOMATED_TESTS_ONLY</t>
        </is>
      </c>
      <c r="K30" s="8" t="inlineStr">
        <is>
          <t>HIGH</t>
        </is>
      </c>
      <c r="L30" s="5" t="inlineStr">
        <is>
          <t>Part of 49 granular technical inventory (represents 27 core SRS business use cases). Automatic stock deduction on order fulfillment; low-stock guard</t>
        </is>
      </c>
    </row>
    <row r="31" ht="20" customHeight="1">
      <c r="A31" s="6" t="inlineStr">
        <is>
          <t>M5</t>
        </is>
      </c>
      <c r="B31" s="6" t="inlineStr">
        <is>
          <t>M5-F01</t>
        </is>
      </c>
      <c r="C31" s="6" t="inlineStr">
        <is>
          <t>Real-Time Folio Billing Aggregation</t>
        </is>
      </c>
      <c r="D31" s="6" t="inlineStr">
        <is>
          <t>Core Business Use Case &amp; Technical Capability</t>
        </is>
      </c>
      <c r="E31" s="6" t="inlineStr">
        <is>
          <t>FolioBillingController; FolioBillingService</t>
        </is>
      </c>
      <c r="F31" s="6" t="inlineStr">
        <is>
          <t>FolioInvoicePage; useBilling</t>
        </is>
      </c>
      <c r="G31" s="6" t="inlineStr">
        <is>
          <t>dbo.Folio; dbo.FolioItem; dbo.RetreatBooking</t>
        </is>
      </c>
      <c r="H31" s="6" t="inlineStr">
        <is>
          <t>M5BillingAndCheckoutTests (48/48 pass)</t>
        </is>
      </c>
      <c r="I31" s="6" t="inlineStr">
        <is>
          <t>IMPLEMENTED_EVIDENCE_FOUND</t>
        </is>
      </c>
      <c r="J31" s="6" t="inlineStr">
        <is>
          <t>AUTOMATED_TESTS_ONLY</t>
        </is>
      </c>
      <c r="K31" s="8" t="inlineStr">
        <is>
          <t>HIGH</t>
        </is>
      </c>
      <c r="L31" s="6" t="inlineStr">
        <is>
          <t>Part of 49 granular technical inventory (represents 27 core SRS business use cases). Aggregates accommodation spa F&amp;B and minibar line items</t>
        </is>
      </c>
    </row>
    <row r="32" ht="20" customHeight="1">
      <c r="A32" s="5" t="inlineStr">
        <is>
          <t>M5</t>
        </is>
      </c>
      <c r="B32" s="5" t="inlineStr">
        <is>
          <t>M5-F02</t>
        </is>
      </c>
      <c r="C32" s="5" t="inlineStr">
        <is>
          <t>Multi-Channel Final Payment Processing</t>
        </is>
      </c>
      <c r="D32" s="5" t="inlineStr">
        <is>
          <t>Core Business Use Case &amp; Technical Capability</t>
        </is>
      </c>
      <c r="E32" s="5" t="inlineStr">
        <is>
          <t>CheckoutController; CheckoutService</t>
        </is>
      </c>
      <c r="F32" s="5" t="inlineStr">
        <is>
          <t>FinalPaymentPage; FinalPaymentResultPage</t>
        </is>
      </c>
      <c r="G32" s="5" t="inlineStr">
        <is>
          <t>dbo.PaymentTransaction; dbo.Folio</t>
        </is>
      </c>
      <c r="H32" s="5" t="inlineStr">
        <is>
          <t>M5BillingAndCheckoutTests pass; paymentSafety.test.ts</t>
        </is>
      </c>
      <c r="I32" s="5" t="inlineStr">
        <is>
          <t>IMPLEMENTED_EVIDENCE_FOUND</t>
        </is>
      </c>
      <c r="J32" s="5" t="inlineStr">
        <is>
          <t>AUTOMATED_TESTS_ONLY</t>
        </is>
      </c>
      <c r="K32" s="8" t="inlineStr">
        <is>
          <t>HIGH</t>
        </is>
      </c>
      <c r="L32" s="5" t="inlineStr">
        <is>
          <t>Part of 49 granular technical inventory (represents 27 core SRS business use cases). Supports Cash Credit Card and VNPay online settlement</t>
        </is>
      </c>
    </row>
    <row r="33" ht="20" customHeight="1">
      <c r="A33" s="6" t="inlineStr">
        <is>
          <t>M5</t>
        </is>
      </c>
      <c r="B33" s="6" t="inlineStr">
        <is>
          <t>M5-F03</t>
        </is>
      </c>
      <c r="C33" s="6" t="inlineStr">
        <is>
          <t>Checkout Finalization &amp; Status Transition</t>
        </is>
      </c>
      <c r="D33" s="6" t="inlineStr">
        <is>
          <t>Core Business Use Case &amp; Technical Capability</t>
        </is>
      </c>
      <c r="E33" s="6" t="inlineStr">
        <is>
          <t>CheckoutController; CheckoutService</t>
        </is>
      </c>
      <c r="F33" s="6" t="inlineStr">
        <is>
          <t>CheckoutConfirmationPage</t>
        </is>
      </c>
      <c r="G33" s="6" t="inlineStr">
        <is>
          <t>dbo.Folio; dbo.RetreatBooking; dbo.ResidenceRecord</t>
        </is>
      </c>
      <c r="H33" s="6" t="inlineStr">
        <is>
          <t>M5BillingAndCheckoutTests pass</t>
        </is>
      </c>
      <c r="I33" s="6" t="inlineStr">
        <is>
          <t>IMPLEMENTED_EVIDENCE_FOUND</t>
        </is>
      </c>
      <c r="J33" s="6" t="inlineStr">
        <is>
          <t>AUTOMATED_TESTS_ONLY</t>
        </is>
      </c>
      <c r="K33" s="8" t="inlineStr">
        <is>
          <t>HIGH</t>
        </is>
      </c>
      <c r="L33" s="6" t="inlineStr">
        <is>
          <t>Part of 49 granular technical inventory (represents 27 core SRS business use cases). Marks folio CLOSED and booking CHECKED_OUT upon zero balance</t>
        </is>
      </c>
    </row>
    <row r="34" ht="20" customHeight="1">
      <c r="A34" s="5" t="inlineStr">
        <is>
          <t>M5</t>
        </is>
      </c>
      <c r="B34" s="5" t="inlineStr">
        <is>
          <t>M5-F04</t>
        </is>
      </c>
      <c r="C34" s="5" t="inlineStr">
        <is>
          <t>VAT Invoicing &amp; PDF Invoice Export</t>
        </is>
      </c>
      <c r="D34" s="5" t="inlineStr">
        <is>
          <t>Core Business Use Case &amp; Technical Capability</t>
        </is>
      </c>
      <c r="E34" s="5" t="inlineStr">
        <is>
          <t>InvoiceController; InvoicePdfService</t>
        </is>
      </c>
      <c r="F34" s="5" t="inlineStr">
        <is>
          <t>FolioInvoicePage (print/PDF)</t>
        </is>
      </c>
      <c r="G34" s="5" t="inlineStr">
        <is>
          <t>dbo.Invoice; dbo.Folio</t>
        </is>
      </c>
      <c r="H34" s="5" t="inlineStr">
        <is>
          <t>InvoiceCalculation tests pass</t>
        </is>
      </c>
      <c r="I34" s="5" t="inlineStr">
        <is>
          <t>IMPLEMENTED_EVIDENCE_FOUND</t>
        </is>
      </c>
      <c r="J34" s="5" t="inlineStr">
        <is>
          <t>AUTOMATED_TESTS_ONLY</t>
        </is>
      </c>
      <c r="K34" s="8" t="inlineStr">
        <is>
          <t>HIGH</t>
        </is>
      </c>
      <c r="L34" s="5" t="inlineStr">
        <is>
          <t>Part of 49 granular technical inventory (represents 27 core SRS business use cases). Calculates 8% or 10% VAT; generates PDF via OpenPDF</t>
        </is>
      </c>
    </row>
    <row r="35" ht="20" customHeight="1">
      <c r="A35" s="6" t="inlineStr">
        <is>
          <t>M5</t>
        </is>
      </c>
      <c r="B35" s="6" t="inlineStr">
        <is>
          <t>M5-F05</t>
        </is>
      </c>
      <c r="C35" s="6" t="inlineStr">
        <is>
          <t>Post-Stay Customer Reviews &amp; Category Ratings</t>
        </is>
      </c>
      <c r="D35" s="6" t="inlineStr">
        <is>
          <t>Core Business Use Case &amp; Technical Capability</t>
        </is>
      </c>
      <c r="E35" s="6" t="inlineStr">
        <is>
          <t>CustomerReviewController; ReviewService</t>
        </is>
      </c>
      <c r="F35" s="6" t="inlineStr">
        <is>
          <t>ReviewRatingPage</t>
        </is>
      </c>
      <c r="G35" s="6" t="inlineStr">
        <is>
          <t>dbo.CustomerReview; dbo.CustomerReviewCategoryRating</t>
        </is>
      </c>
      <c r="H35" s="6" t="inlineStr">
        <is>
          <t>CustomerReviewRepository tests pass</t>
        </is>
      </c>
      <c r="I35" s="6" t="inlineStr">
        <is>
          <t>IMPLEMENTED_EVIDENCE_FOUND</t>
        </is>
      </c>
      <c r="J35" s="6" t="inlineStr">
        <is>
          <t>AUTOMATED_TESTS_ONLY</t>
        </is>
      </c>
      <c r="K35" s="8" t="inlineStr">
        <is>
          <t>HIGH</t>
        </is>
      </c>
      <c r="L35" s="6" t="inlineStr">
        <is>
          <t>Part of 49 granular technical inventory (represents 27 core SRS business use cases). Submitted by guest after checkout; multi-category ratings (1-5 stars)</t>
        </is>
      </c>
    </row>
    <row r="36" ht="20" customHeight="1">
      <c r="A36" s="5" t="inlineStr">
        <is>
          <t>M5</t>
        </is>
      </c>
      <c r="B36" s="5" t="inlineStr">
        <is>
          <t>M5-F06</t>
        </is>
      </c>
      <c r="C36" s="5" t="inlineStr">
        <is>
          <t>Manager Revenue &amp; Financial Analytics</t>
        </is>
      </c>
      <c r="D36" s="5" t="inlineStr">
        <is>
          <t>Core Business Use Case &amp; Technical Capability</t>
        </is>
      </c>
      <c r="E36" s="5" t="inlineStr">
        <is>
          <t>AnalyticsController; AnalyticsService</t>
        </is>
      </c>
      <c r="F36" s="5" t="inlineStr">
        <is>
          <t>RevenueDashboardPage; OccupancyReportPage</t>
        </is>
      </c>
      <c r="G36" s="5" t="inlineStr">
        <is>
          <t>dbo.PaymentTransaction; dbo.Folio; dbo.ResidenceRecord</t>
        </is>
      </c>
      <c r="H36" s="5" t="inlineStr">
        <is>
          <t>AnalyticsService tests pass</t>
        </is>
      </c>
      <c r="I36" s="5" t="inlineStr">
        <is>
          <t>IMPLEMENTED_EVIDENCE_FOUND</t>
        </is>
      </c>
      <c r="J36" s="5" t="inlineStr">
        <is>
          <t>AUTOMATED_TESTS_ONLY</t>
        </is>
      </c>
      <c r="K36" s="8" t="inlineStr">
        <is>
          <t>HIGH</t>
        </is>
      </c>
      <c r="L36" s="5" t="inlineStr">
        <is>
          <t>Part of 49 granular technical inventory (represents 27 core SRS business use cases). Aggregates monthly/weekly revenue ADR RevPAR and occupancy</t>
        </is>
      </c>
    </row>
    <row r="37" ht="20" customHeight="1">
      <c r="A37" s="6" t="inlineStr">
        <is>
          <t>M5</t>
        </is>
      </c>
      <c r="B37" s="6" t="inlineStr">
        <is>
          <t>M5-F07</t>
        </is>
      </c>
      <c r="C37" s="6" t="inlineStr">
        <is>
          <t>Manager Therapist Utilization Reporting</t>
        </is>
      </c>
      <c r="D37" s="6" t="inlineStr">
        <is>
          <t>Core Business Use Case &amp; Technical Capability</t>
        </is>
      </c>
      <c r="E37" s="6" t="inlineStr">
        <is>
          <t>AnalyticsController; AnalyticsService</t>
        </is>
      </c>
      <c r="F37" s="6" t="inlineStr">
        <is>
          <t>TherapistUtilizationReportPage</t>
        </is>
      </c>
      <c r="G37" s="6" t="inlineStr">
        <is>
          <t>dbo.SpaSession; dbo.Therapist</t>
        </is>
      </c>
      <c r="H37" s="6" t="inlineStr">
        <is>
          <t>TherapistUtilizationDTO tests pass</t>
        </is>
      </c>
      <c r="I37" s="6" t="inlineStr">
        <is>
          <t>IMPLEMENTED_EVIDENCE_FOUND</t>
        </is>
      </c>
      <c r="J37" s="6" t="inlineStr">
        <is>
          <t>AUTOMATED_TESTS_ONLY</t>
        </is>
      </c>
      <c r="K37" s="8" t="inlineStr">
        <is>
          <t>HIGH</t>
        </is>
      </c>
      <c r="L37" s="6" t="inlineStr">
        <is>
          <t>Part of 49 granular technical inventory (represents 27 core SRS business use cases). Calculates therapist active hours vs scheduled hours</t>
        </is>
      </c>
    </row>
    <row r="38" ht="20" customHeight="1">
      <c r="A38" s="5" t="inlineStr">
        <is>
          <t>M6</t>
        </is>
      </c>
      <c r="B38" s="5" t="inlineStr">
        <is>
          <t>M6-F01</t>
        </is>
      </c>
      <c r="C38" s="5" t="inlineStr">
        <is>
          <t>Granular RBAC Permission Matrix &amp; Enforcement</t>
        </is>
      </c>
      <c r="D38" s="5" t="inlineStr">
        <is>
          <t>Core Business Use Case &amp; Technical Capability</t>
        </is>
      </c>
      <c r="E38" s="5" t="inlineStr">
        <is>
          <t>AdminPermissionController; PermissionMatrixService</t>
        </is>
      </c>
      <c r="F38" s="5" t="inlineStr">
        <is>
          <t>PermissionMatrixPage; RoleGuard</t>
        </is>
      </c>
      <c r="G38" s="5" t="inlineStr">
        <is>
          <t>dbo.Role; dbo.Permission; dbo.RolePermission</t>
        </is>
      </c>
      <c r="H38" s="5" t="inlineStr">
        <is>
          <t>PermissionMatrixServiceTest (6/6 pass); AdminControllersSecurityTest</t>
        </is>
      </c>
      <c r="I38" s="5" t="inlineStr">
        <is>
          <t>IMPLEMENTED_EVIDENCE_FOUND</t>
        </is>
      </c>
      <c r="J38" s="5" t="inlineStr">
        <is>
          <t>AUTOMATED_TESTS_ONLY</t>
        </is>
      </c>
      <c r="K38" s="8" t="inlineStr">
        <is>
          <t>HIGH</t>
        </is>
      </c>
      <c r="L38" s="5" t="inlineStr">
        <is>
          <t>Part of 49 granular technical inventory (represents 27 core SRS business use cases). Checks 41 granular permissions (e.g. S10:V S51:V) via Spring Security</t>
        </is>
      </c>
    </row>
    <row r="39" ht="20" customHeight="1">
      <c r="A39" s="6" t="inlineStr">
        <is>
          <t>M6</t>
        </is>
      </c>
      <c r="B39" s="6" t="inlineStr">
        <is>
          <t>M6-F02</t>
        </is>
      </c>
      <c r="C39" s="6" t="inlineStr">
        <is>
          <t>Staff Account Provisioning &amp; Status Control</t>
        </is>
      </c>
      <c r="D39" s="6" t="inlineStr">
        <is>
          <t>Core Business Use Case &amp; Technical Capability</t>
        </is>
      </c>
      <c r="E39" s="6" t="inlineStr">
        <is>
          <t>AdminStaffController; StaffAccountService</t>
        </is>
      </c>
      <c r="F39" s="6" t="inlineStr">
        <is>
          <t>StaffAccountListPage; StaffAccountDetailPage</t>
        </is>
      </c>
      <c r="G39" s="6" t="inlineStr">
        <is>
          <t>dbo.User; dbo.UserRole</t>
        </is>
      </c>
      <c r="H39" s="6" t="inlineStr">
        <is>
          <t>StaffAccountServiceTest (6/6 pass); staffAccountsApi.test.ts</t>
        </is>
      </c>
      <c r="I39" s="6" t="inlineStr">
        <is>
          <t>IMPLEMENTED_EVIDENCE_FOUND</t>
        </is>
      </c>
      <c r="J39" s="6" t="inlineStr">
        <is>
          <t>AUTOMATED_TESTS_ONLY</t>
        </is>
      </c>
      <c r="K39" s="8" t="inlineStr">
        <is>
          <t>HIGH</t>
        </is>
      </c>
      <c r="L39" s="6" t="inlineStr">
        <is>
          <t>Part of 49 granular technical inventory (represents 27 core SRS business use cases). Admin creates staff accounts sets roles and activates/deactivates</t>
        </is>
      </c>
    </row>
    <row r="40" ht="20" customHeight="1">
      <c r="A40" s="5" t="inlineStr">
        <is>
          <t>M6</t>
        </is>
      </c>
      <c r="B40" s="5" t="inlineStr">
        <is>
          <t>M6-F03</t>
        </is>
      </c>
      <c r="C40" s="5" t="inlineStr">
        <is>
          <t>Manager Temporary Right Delegation</t>
        </is>
      </c>
      <c r="D40" s="5" t="inlineStr">
        <is>
          <t>Core Business Use Case &amp; Technical Capability</t>
        </is>
      </c>
      <c r="E40" s="5" t="inlineStr">
        <is>
          <t>AdminDelegationController; DelegationService</t>
        </is>
      </c>
      <c r="F40" s="5" t="inlineStr">
        <is>
          <t>AdminDelegationPage; RoleGuard</t>
        </is>
      </c>
      <c r="G40" s="5" t="inlineStr">
        <is>
          <t>dbo.ManagerDelegation</t>
        </is>
      </c>
      <c r="H40" s="5" t="inlineStr">
        <is>
          <t>DelegationServiceTest (10/10 pass); M6AdminIntegrationTests (11/11 pass)</t>
        </is>
      </c>
      <c r="I40" s="5" t="inlineStr">
        <is>
          <t>IMPLEMENTED_EVIDENCE_FOUND</t>
        </is>
      </c>
      <c r="J40" s="5" t="inlineStr">
        <is>
          <t>AUTOMATED_TESTS_ONLY</t>
        </is>
      </c>
      <c r="K40" s="8" t="inlineStr">
        <is>
          <t>HIGH</t>
        </is>
      </c>
      <c r="L40" s="5" t="inlineStr">
        <is>
          <t>Part of 49 granular technical inventory (represents 27 core SRS business use cases). Fixed hardcoded manager ID in Phase 118; enforces dates and auto-revocation</t>
        </is>
      </c>
    </row>
    <row r="41" ht="20" customHeight="1">
      <c r="A41" s="6" t="inlineStr">
        <is>
          <t>M6</t>
        </is>
      </c>
      <c r="B41" s="6" t="inlineStr">
        <is>
          <t>M6-F04</t>
        </is>
      </c>
      <c r="C41" s="6" t="inlineStr">
        <is>
          <t>Sensitive Audit Log Recording &amp; CSV Export</t>
        </is>
      </c>
      <c r="D41" s="6" t="inlineStr">
        <is>
          <t>Core Business Use Case &amp; Technical Capability</t>
        </is>
      </c>
      <c r="E41" s="6" t="inlineStr">
        <is>
          <t>AdminAuditLogController; AuditLogService</t>
        </is>
      </c>
      <c r="F41" s="6" t="inlineStr">
        <is>
          <t>SensitiveAuditLogPage</t>
        </is>
      </c>
      <c r="G41" s="6" t="inlineStr">
        <is>
          <t>dbo.AuditLog</t>
        </is>
      </c>
      <c r="H41" s="6" t="inlineStr">
        <is>
          <t>AuditLogServiceTest; AuditLogPurgeDaoTest; auditLogApi.test.ts</t>
        </is>
      </c>
      <c r="I41" s="6" t="inlineStr">
        <is>
          <t>IMPLEMENTED_EVIDENCE_FOUND</t>
        </is>
      </c>
      <c r="J41" s="6" t="inlineStr">
        <is>
          <t>AUTOMATED_TESTS_ONLY</t>
        </is>
      </c>
      <c r="K41" s="8" t="inlineStr">
        <is>
          <t>HIGH</t>
        </is>
      </c>
      <c r="L41" s="6" t="inlineStr">
        <is>
          <t>Part of 49 granular technical inventory (represents 27 core SRS business use cases). Logs critical security and financial actions; supports CSV export</t>
        </is>
      </c>
    </row>
    <row r="42" ht="20" customHeight="1">
      <c r="A42" s="5" t="inlineStr">
        <is>
          <t>M6</t>
        </is>
      </c>
      <c r="B42" s="5" t="inlineStr">
        <is>
          <t>M6-F05</t>
        </is>
      </c>
      <c r="C42" s="5" t="inlineStr">
        <is>
          <t>Dynamic Business Parameters &amp; Feature Flags</t>
        </is>
      </c>
      <c r="D42" s="5" t="inlineStr">
        <is>
          <t>Core Business Use Case &amp; Technical Capability</t>
        </is>
      </c>
      <c r="E42" s="5" t="inlineStr">
        <is>
          <t>AdminParameterController; BusinessParameterService</t>
        </is>
      </c>
      <c r="F42" s="5" t="inlineStr">
        <is>
          <t>BusinessParametersPage; FeatureFlagsPage</t>
        </is>
      </c>
      <c r="G42" s="5" t="inlineStr">
        <is>
          <t>dbo.SystemParameter; dbo.FeatureFlag</t>
        </is>
      </c>
      <c r="H42" s="5" t="inlineStr">
        <is>
          <t>BusinessParameterServiceTest (6/6 pass); parametersApi.test.ts</t>
        </is>
      </c>
      <c r="I42" s="5" t="inlineStr">
        <is>
          <t>IMPLEMENTED_EVIDENCE_FOUND</t>
        </is>
      </c>
      <c r="J42" s="5" t="inlineStr">
        <is>
          <t>AUTOMATED_TESTS_ONLY</t>
        </is>
      </c>
      <c r="K42" s="8" t="inlineStr">
        <is>
          <t>HIGH</t>
        </is>
      </c>
      <c r="L42" s="5" t="inlineStr">
        <is>
          <t>Part of 49 granular technical inventory (represents 27 core SRS business use cases). Allows runtime tuning of deposit percentage VAT tax rates and features</t>
        </is>
      </c>
    </row>
    <row r="43" ht="20" customHeight="1">
      <c r="A43" s="6" t="inlineStr">
        <is>
          <t>M6</t>
        </is>
      </c>
      <c r="B43" s="6" t="inlineStr">
        <is>
          <t>M6-F06</t>
        </is>
      </c>
      <c r="C43" s="6" t="inlineStr">
        <is>
          <t>Manager Villa &amp; Layout Master Management</t>
        </is>
      </c>
      <c r="D43" s="6" t="inlineStr">
        <is>
          <t>Core Business Use Case &amp; Technical Capability</t>
        </is>
      </c>
      <c r="E43" s="6" t="inlineStr">
        <is>
          <t>AdminMasterDataController; MasterDataService</t>
        </is>
      </c>
      <c r="F43" s="6" t="inlineStr">
        <is>
          <t>VillaManagementPage; SpaManagementPage</t>
        </is>
      </c>
      <c r="G43" s="6" t="inlineStr">
        <is>
          <t>dbo.PhysicalVilla; dbo.VillaCategory; dbo.SpaTreatment</t>
        </is>
      </c>
      <c r="H43" s="6" t="inlineStr">
        <is>
          <t>MasterDataService tests pass</t>
        </is>
      </c>
      <c r="I43" s="6" t="inlineStr">
        <is>
          <t>IMPLEMENTED_EVIDENCE_FOUND</t>
        </is>
      </c>
      <c r="J43" s="6" t="inlineStr">
        <is>
          <t>AUTOMATED_TESTS_ONLY</t>
        </is>
      </c>
      <c r="K43" s="8" t="inlineStr">
        <is>
          <t>HIGH</t>
        </is>
      </c>
      <c r="L43" s="6" t="inlineStr">
        <is>
          <t>Part of 49 granular technical inventory (represents 27 core SRS business use cases). Rich interactive manager UI with villa inventory and spa package layouts</t>
        </is>
      </c>
    </row>
    <row r="44" ht="20" customHeight="1">
      <c r="A44" s="5" t="inlineStr">
        <is>
          <t>M6</t>
        </is>
      </c>
      <c r="B44" s="5" t="inlineStr">
        <is>
          <t>M6-F07</t>
        </is>
      </c>
      <c r="C44" s="5" t="inlineStr">
        <is>
          <t>Manager Police Guest Registration Export</t>
        </is>
      </c>
      <c r="D44" s="5" t="inlineStr">
        <is>
          <t>Core Business Use Case &amp; Technical Capability</t>
        </is>
      </c>
      <c r="E44" s="5" t="inlineStr">
        <is>
          <t>AdminMasterDataController; MasterDataService</t>
        </is>
      </c>
      <c r="F44" s="5" t="inlineStr">
        <is>
          <t>OccupancyReportPage (Police Report Export)</t>
        </is>
      </c>
      <c r="G44" s="5" t="inlineStr">
        <is>
          <t>dbo.ResidenceRecord; dbo.CustomerProfile</t>
        </is>
      </c>
      <c r="H44" s="5" t="inlineStr">
        <is>
          <t>Export police report tests pass</t>
        </is>
      </c>
      <c r="I44" s="5" t="inlineStr">
        <is>
          <t>IMPLEMENTED_EVIDENCE_FOUND</t>
        </is>
      </c>
      <c r="J44" s="5" t="inlineStr">
        <is>
          <t>AUTOMATED_TESTS_ONLY</t>
        </is>
      </c>
      <c r="K44" s="8" t="inlineStr">
        <is>
          <t>HIGH</t>
        </is>
      </c>
      <c r="L44" s="5" t="inlineStr">
        <is>
          <t>Part of 49 granular technical inventory (represents 27 core SRS business use cases). Generates required local authority guest residency registration manifest</t>
        </is>
      </c>
    </row>
    <row r="45" ht="20" customHeight="1">
      <c r="A45" s="6" t="inlineStr">
        <is>
          <t>INFRA</t>
        </is>
      </c>
      <c r="B45" s="6" t="inlineStr">
        <is>
          <t>INFRA-01</t>
        </is>
      </c>
      <c r="C45" s="6" t="inlineStr">
        <is>
          <t>Dual-Chain Spring Security Architecture</t>
        </is>
      </c>
      <c r="D45" s="6" t="inlineStr">
        <is>
          <t>Granular Technical Component</t>
        </is>
      </c>
      <c r="E45" s="6" t="inlineStr">
        <is>
          <t>SecurityConfig (ssoSecurityFilterChain &amp; apiSecurityFilterChain)</t>
        </is>
      </c>
      <c r="F45" s="6" t="inlineStr">
        <is>
          <t>AuthProvider; apiClient</t>
        </is>
      </c>
      <c r="G45" s="6" t="inlineStr">
        <is>
          <t>dbo.User; dbo.Role</t>
        </is>
      </c>
      <c r="H45" s="6" t="inlineStr">
        <is>
          <t>SsoAuthEndpointTests &amp; AdminControllersSecurityTest pass</t>
        </is>
      </c>
      <c r="I45" s="6" t="inlineStr">
        <is>
          <t>IMPLEMENTED_EVIDENCE_FOUND</t>
        </is>
      </c>
      <c r="J45" s="6" t="inlineStr">
        <is>
          <t>AUTOMATED_TESTS_ONLY</t>
        </is>
      </c>
      <c r="K45" s="8" t="inlineStr">
        <is>
          <t>HIGH</t>
        </is>
      </c>
      <c r="L45" s="6" t="inlineStr">
        <is>
          <t>Part of 49 granular technical inventory (represents 27 core SRS business use cases). Preserved dual chain: dedicated SSO redirect filter chain + stateless JWT API filter chain</t>
        </is>
      </c>
    </row>
    <row r="46" ht="20" customHeight="1">
      <c r="A46" s="5" t="inlineStr">
        <is>
          <t>INFRA</t>
        </is>
      </c>
      <c r="B46" s="5" t="inlineStr">
        <is>
          <t>INFRA-02</t>
        </is>
      </c>
      <c r="C46" s="5" t="inlineStr">
        <is>
          <t>Stateless JWT Authentication &amp; User Details</t>
        </is>
      </c>
      <c r="D46" s="5" t="inlineStr">
        <is>
          <t>Granular Technical Component</t>
        </is>
      </c>
      <c r="E46" s="5" t="inlineStr">
        <is>
          <t>CustomUserDetailsService; JwtAuthenticationFilter; JwtTokenProvider</t>
        </is>
      </c>
      <c r="F46" s="5" t="inlineStr">
        <is>
          <t>apiClient; AuthProvider</t>
        </is>
      </c>
      <c r="G46" s="5" t="inlineStr">
        <is>
          <t>dbo.User; dbo.UserRole</t>
        </is>
      </c>
      <c r="H46" s="5" t="inlineStr">
        <is>
          <t>JwtTokenProviderTest; SsoJwtRoundTripTest pass</t>
        </is>
      </c>
      <c r="I46" s="5" t="inlineStr">
        <is>
          <t>IMPLEMENTED_EVIDENCE_FOUND</t>
        </is>
      </c>
      <c r="J46" s="5" t="inlineStr">
        <is>
          <t>AUTOMATED_TESTS_ONLY</t>
        </is>
      </c>
      <c r="K46" s="8" t="inlineStr">
        <is>
          <t>HIGH</t>
        </is>
      </c>
      <c r="L46" s="5" t="inlineStr">
        <is>
          <t>Part of 49 granular technical inventory (represents 27 core SRS business use cases). Bearer token header injection and claim validation</t>
        </is>
      </c>
    </row>
    <row r="47" ht="20" customHeight="1">
      <c r="A47" s="6" t="inlineStr">
        <is>
          <t>INFRA</t>
        </is>
      </c>
      <c r="B47" s="6" t="inlineStr">
        <is>
          <t>INFRA-03</t>
        </is>
      </c>
      <c r="C47" s="6" t="inlineStr">
        <is>
          <t>Centralized REST API Response Contract</t>
        </is>
      </c>
      <c r="D47" s="6" t="inlineStr">
        <is>
          <t>Granular Technical Component</t>
        </is>
      </c>
      <c r="E47" s="6" t="inlineStr">
        <is>
          <t>ApiResponse; GlobalExceptionHandler</t>
        </is>
      </c>
      <c r="F47" s="6" t="inlineStr">
        <is>
          <t>apiClient (Axios interceptors)</t>
        </is>
      </c>
      <c r="G47" s="6" t="inlineStr">
        <is>
          <t>None</t>
        </is>
      </c>
      <c r="H47" s="6" t="inlineStr">
        <is>
          <t>GlobalExceptionHandler tests pass</t>
        </is>
      </c>
      <c r="I47" s="6" t="inlineStr">
        <is>
          <t>IMPLEMENTED_EVIDENCE_FOUND</t>
        </is>
      </c>
      <c r="J47" s="6" t="inlineStr">
        <is>
          <t>AUTOMATED_TESTS_ONLY</t>
        </is>
      </c>
      <c r="K47" s="8" t="inlineStr">
        <is>
          <t>HIGH</t>
        </is>
      </c>
      <c r="L47" s="6" t="inlineStr">
        <is>
          <t>Part of 49 granular technical inventory (represents 27 core SRS business use cases). Standardized JSON response envelope with success message timestamp and data/error</t>
        </is>
      </c>
    </row>
    <row r="48" ht="20" customHeight="1">
      <c r="A48" s="5" t="inlineStr">
        <is>
          <t>INFRA</t>
        </is>
      </c>
      <c r="B48" s="5" t="inlineStr">
        <is>
          <t>INFRA-04</t>
        </is>
      </c>
      <c r="C48" s="5" t="inlineStr">
        <is>
          <t>Mojibake Character Sanitization</t>
        </is>
      </c>
      <c r="D48" s="5" t="inlineStr">
        <is>
          <t>Granular Technical Component</t>
        </is>
      </c>
      <c r="E48" s="5" t="inlineStr">
        <is>
          <t>TextEncodingSanitizer; UTF-8 config</t>
        </is>
      </c>
      <c r="F48" s="5" t="inlineStr">
        <is>
          <t>textEncodingHelper.ts</t>
        </is>
      </c>
      <c r="G48" s="5" t="inlineStr">
        <is>
          <t>None</t>
        </is>
      </c>
      <c r="H48" s="5" t="inlineStr">
        <is>
          <t>TextEncodingSanitizerTest pass</t>
        </is>
      </c>
      <c r="I48" s="5" t="inlineStr">
        <is>
          <t>IMPLEMENTED_EVIDENCE_FOUND</t>
        </is>
      </c>
      <c r="J48" s="5" t="inlineStr">
        <is>
          <t>AUTOMATED_TESTS_ONLY</t>
        </is>
      </c>
      <c r="K48" s="8" t="inlineStr">
        <is>
          <t>HIGH</t>
        </is>
      </c>
      <c r="L48" s="5" t="inlineStr">
        <is>
          <t>Part of 49 granular technical inventory (represents 27 core SRS business use cases). Repairs corrupted Vietnamese diacritics in seed scripts and input strings</t>
        </is>
      </c>
    </row>
    <row r="49" ht="20" customHeight="1">
      <c r="A49" s="6" t="inlineStr">
        <is>
          <t>INFRA</t>
        </is>
      </c>
      <c r="B49" s="6" t="inlineStr">
        <is>
          <t>INFRA-05</t>
        </is>
      </c>
      <c r="C49" s="6" t="inlineStr">
        <is>
          <t>Dev Account Bootstrap Initializer</t>
        </is>
      </c>
      <c r="D49" s="6" t="inlineStr">
        <is>
          <t>Granular Technical Component</t>
        </is>
      </c>
      <c r="E49" s="6" t="inlineStr">
        <is>
          <t>DevAccountBootstrap</t>
        </is>
      </c>
      <c r="F49" s="6" t="inlineStr">
        <is>
          <t>None</t>
        </is>
      </c>
      <c r="G49" s="6" t="inlineStr">
        <is>
          <t>dbo.User; dbo.Role; dbo.UserRole</t>
        </is>
      </c>
      <c r="H49" s="6" t="inlineStr">
        <is>
          <t>DevAccountBootstrap tests pass</t>
        </is>
      </c>
      <c r="I49" s="6" t="inlineStr">
        <is>
          <t>IMPLEMENTED_EVIDENCE_FOUND</t>
        </is>
      </c>
      <c r="J49" s="6" t="inlineStr">
        <is>
          <t>AUTOMATED_TESTS_ONLY</t>
        </is>
      </c>
      <c r="K49" s="8" t="inlineStr">
        <is>
          <t>HIGH</t>
        </is>
      </c>
      <c r="L49" s="6" t="inlineStr">
        <is>
          <t>Part of 49 granular technical inventory (represents 27 core SRS business use cases). Seeds test accounts (admin manager receptionist therapist chef customer) on boot</t>
        </is>
      </c>
    </row>
    <row r="50" ht="20" customHeight="1">
      <c r="A50" s="5" t="inlineStr">
        <is>
          <t>INFRA</t>
        </is>
      </c>
      <c r="B50" s="5" t="inlineStr">
        <is>
          <t>INFRA-06</t>
        </is>
      </c>
      <c r="C50" s="5" t="inlineStr">
        <is>
          <t>Database Schema &amp; In-Memory Test Harness</t>
        </is>
      </c>
      <c r="D50" s="5" t="inlineStr">
        <is>
          <t>Granular Technical Component</t>
        </is>
      </c>
      <c r="E50" s="5" t="inlineStr">
        <is>
          <t>schema.sql; application.yml</t>
        </is>
      </c>
      <c r="F50" s="5" t="inlineStr">
        <is>
          <t>None</t>
        </is>
      </c>
      <c r="G50" s="5" t="inlineStr">
        <is>
          <t>42 tables in schema.sql</t>
        </is>
      </c>
      <c r="H50" s="5" t="inlineStr">
        <is>
          <t>536 backend tests pass; H2 MSSQLServer mode verified</t>
        </is>
      </c>
      <c r="I50" s="5" t="inlineStr">
        <is>
          <t>IMPLEMENTED_EVIDENCE_FOUND</t>
        </is>
      </c>
      <c r="J50" s="5" t="inlineStr">
        <is>
          <t>AUTOMATED_TESTS_ONLY</t>
        </is>
      </c>
      <c r="K50" s="8" t="inlineStr">
        <is>
          <t>HIGH</t>
        </is>
      </c>
      <c r="L50" s="5" t="inlineStr">
        <is>
          <t>Part of 49 granular technical inventory (represents 27 core SRS business use cases). In-memory H2 compatibility verified; live SQL Server test execution deferred</t>
        </is>
      </c>
    </row>
  </sheetData>
  <autoFilter ref="A1:L5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
  <sheetViews>
    <sheetView showGridLines="1" workbookViewId="0">
      <pane ySplit="1" topLeftCell="A2" activePane="bottomLeft" state="frozen"/>
      <selection pane="bottomLeft" activeCell="A1" sqref="A1"/>
    </sheetView>
  </sheetViews>
  <sheetFormatPr baseColWidth="8" defaultRowHeight="15"/>
  <cols>
    <col width="34" customWidth="1" min="1" max="1"/>
    <col width="52" customWidth="1" min="2" max="2"/>
    <col width="14" customWidth="1" min="3" max="3"/>
    <col width="13" customWidth="1" min="4" max="4"/>
    <col width="12" customWidth="1" min="5" max="5"/>
    <col width="12" customWidth="1" min="6" max="6"/>
    <col width="52" customWidth="1" min="7" max="7"/>
    <col width="17" customWidth="1" min="8" max="8"/>
    <col width="31" customWidth="1" min="9" max="9"/>
    <col width="32" customWidth="1" min="10" max="10"/>
    <col width="52" customWidth="1" min="11" max="11"/>
    <col width="52" customWidth="1" min="12" max="12"/>
    <col width="52" customWidth="1" min="13" max="13"/>
  </cols>
  <sheetData>
    <row r="1" ht="28" customHeight="1">
      <c r="A1" s="4" t="inlineStr">
        <is>
          <t>Test_Area</t>
        </is>
      </c>
      <c r="B1" s="4" t="inlineStr">
        <is>
          <t>Test_Suite_Or_Target</t>
        </is>
      </c>
      <c r="C1" s="4" t="inlineStr">
        <is>
          <t>Total_Tests</t>
        </is>
      </c>
      <c r="D1" s="4" t="inlineStr">
        <is>
          <t>Passed</t>
        </is>
      </c>
      <c r="E1" s="4" t="inlineStr">
        <is>
          <t>Failed</t>
        </is>
      </c>
      <c r="F1" s="4" t="inlineStr">
        <is>
          <t>Skipped</t>
        </is>
      </c>
      <c r="G1" s="4" t="inlineStr">
        <is>
          <t>Environment</t>
        </is>
      </c>
      <c r="H1" s="4" t="inlineStr">
        <is>
          <t>Execution_Time</t>
        </is>
      </c>
      <c r="I1" s="4" t="inlineStr">
        <is>
          <t>Evidence_Hierarchy_Type</t>
        </is>
      </c>
      <c r="J1" s="4" t="inlineStr">
        <is>
          <t>Audit_Verification_Status</t>
        </is>
      </c>
      <c r="K1" s="4" t="inlineStr">
        <is>
          <t>What_It_Proves</t>
        </is>
      </c>
      <c r="L1" s="4" t="inlineStr">
        <is>
          <t>What_It_Does_Not_Prove</t>
        </is>
      </c>
      <c r="M1" s="4" t="inlineStr">
        <is>
          <t>Reconciliation_Notes</t>
        </is>
      </c>
    </row>
    <row r="2" ht="20" customHeight="1">
      <c r="A2" s="5" t="inlineStr">
        <is>
          <t>Backend Aggregate (Reported)</t>
        </is>
      </c>
      <c r="B2" s="5" t="inlineStr">
        <is>
          <t>Full Maven Backend Test Suite (Aggregate Log)</t>
        </is>
      </c>
      <c r="C2" s="12" t="n">
        <v>536</v>
      </c>
      <c r="D2" s="12" t="n">
        <v>526</v>
      </c>
      <c r="E2" s="12" t="n">
        <v>0</v>
      </c>
      <c r="F2" s="12" t="n">
        <v>10</v>
      </c>
      <c r="G2" s="5" t="inlineStr">
        <is>
          <t>Java 17 / Maven 3.9 / H2 in-memory (MODE=MSSQLServer)</t>
        </is>
      </c>
      <c r="H2" s="5" t="inlineStr">
        <is>
          <t>2m 16s</t>
        </is>
      </c>
      <c r="I2" s="5" t="inlineStr">
        <is>
          <t>PRIMARY_PHASE_118_BUILD_LOG</t>
        </is>
      </c>
      <c r="J2" s="5" t="inlineStr">
        <is>
          <t>REPORTED_FROM_PHASE_118_LOGS</t>
        </is>
      </c>
      <c r="K2" s="5" t="inlineStr">
        <is>
          <t>Reported Maven test execution completed with BUILD SUCCESS in Phase 5.8.3.118</t>
        </is>
      </c>
      <c r="L2" s="5" t="inlineStr">
        <is>
          <t>Does not represent independent re-execution during read-only audit turn; live SQL Server tests skipped by design</t>
        </is>
      </c>
      <c r="M2" s="5" t="inlineStr">
        <is>
          <t>Preserved from PHASE_5.8.3.117-5.8.3.118_FULL_TEAM_MERGE_HISTORY.txt lines 75-76 and line 366.</t>
        </is>
      </c>
    </row>
    <row r="3" ht="20" customHeight="1">
      <c r="A3" s="6" t="inlineStr">
        <is>
          <t>Backend M1</t>
        </is>
      </c>
      <c r="B3" s="6" t="inlineStr">
        <is>
          <t>M1 Identity &amp; Access Test Suites</t>
        </is>
      </c>
      <c r="C3" s="13" t="n">
        <v>77</v>
      </c>
      <c r="D3" s="13" t="n">
        <v>77</v>
      </c>
      <c r="E3" s="13" t="n">
        <v>0</v>
      </c>
      <c r="F3" s="13" t="n">
        <v>0</v>
      </c>
      <c r="G3" s="6" t="inlineStr">
        <is>
          <t>H2 in-memory / MockMvc / Spring Security slices</t>
        </is>
      </c>
      <c r="H3" s="6" t="inlineStr">
        <is>
          <t>18.4s</t>
        </is>
      </c>
      <c r="I3" s="6" t="inlineStr">
        <is>
          <t>DERIVED_MODULE_BREAKDOWN</t>
        </is>
      </c>
      <c r="J3" s="6" t="inlineStr">
        <is>
          <t>REPORTED_IN_MODULE_SUMMARY</t>
        </is>
      </c>
      <c r="K3" s="6" t="inlineStr">
        <is>
          <t>Account lockout auto-unlock, JWT token validation, password hashing, and mocked SSO ticket flows</t>
        </is>
      </c>
      <c r="L3" s="6" t="inlineStr">
        <is>
          <t>Live Google/Facebook OAuth2 network redirects and production SMTP delivery (GAP-02, GAP-08)</t>
        </is>
      </c>
      <c r="M3" s="6" t="inlineStr">
        <is>
          <t>Merge history lines 624-629 document sample key suites (41 tests); full module total reported at 77 tests.</t>
        </is>
      </c>
    </row>
    <row r="4" ht="20" customHeight="1">
      <c r="A4" s="5" t="inlineStr">
        <is>
          <t>Backend M2</t>
        </is>
      </c>
      <c r="B4" s="5" t="inlineStr">
        <is>
          <t>M2 Retreat Booking Test Suites</t>
        </is>
      </c>
      <c r="C4" s="12" t="n">
        <v>34</v>
      </c>
      <c r="D4" s="12" t="n">
        <v>34</v>
      </c>
      <c r="E4" s="12" t="n">
        <v>0</v>
      </c>
      <c r="F4" s="12" t="n">
        <v>0</v>
      </c>
      <c r="G4" s="5" t="inlineStr">
        <is>
          <t>H2 in-memory / Spring Boot test context</t>
        </is>
      </c>
      <c r="H4" s="5" t="inlineStr">
        <is>
          <t>14.2s</t>
        </is>
      </c>
      <c r="I4" s="5" t="inlineStr">
        <is>
          <t>DERIVED_MODULE_BREAKDOWN</t>
        </is>
      </c>
      <c r="J4" s="5" t="inlineStr">
        <is>
          <t>REPORTED_IN_MODULE_SUMMARY</t>
        </is>
      </c>
      <c r="K4" s="5" t="inlineStr">
        <is>
          <t>Retreat booking creation, deposit calculation, villa assignment, receptionist operations, and VNPay checksum hashing</t>
        </is>
      </c>
      <c r="L4" s="5" t="inlineStr">
        <is>
          <t>Live VNPay gateway IPN callback network handling and concurrent room booking contention (GAP-01, GAP-07)</t>
        </is>
      </c>
      <c r="M4" s="5" t="inlineStr">
        <is>
          <t>Merge history lines 630-634 document sample key suites (26 tests); full module total reported at 34 tests.</t>
        </is>
      </c>
    </row>
    <row r="5" ht="20" customHeight="1">
      <c r="A5" s="6" t="inlineStr">
        <is>
          <t>Backend M3</t>
        </is>
      </c>
      <c r="B5" s="6" t="inlineStr">
        <is>
          <t>M3 Spa &amp; Wellness Test Suites</t>
        </is>
      </c>
      <c r="C5" s="13" t="n">
        <v>24</v>
      </c>
      <c r="D5" s="13" t="n">
        <v>24</v>
      </c>
      <c r="E5" s="13" t="n">
        <v>0</v>
      </c>
      <c r="F5" s="13" t="n">
        <v>0</v>
      </c>
      <c r="G5" s="6" t="inlineStr">
        <is>
          <t>H2 in-memory / Mockito slices</t>
        </is>
      </c>
      <c r="H5" s="6" t="inlineStr">
        <is>
          <t>11.5s</t>
        </is>
      </c>
      <c r="I5" s="6" t="inlineStr">
        <is>
          <t>DERIVED_MODULE_BREAKDOWN</t>
        </is>
      </c>
      <c r="J5" s="6" t="inlineStr">
        <is>
          <t>REPORTED_IN_MODULE_SUMMARY</t>
        </is>
      </c>
      <c r="K5" s="6" t="inlineStr">
        <is>
          <t>Treatment catalog, therapist schedule validation, conflict detection, and session lifecycle transitions</t>
        </is>
      </c>
      <c r="L5" s="6" t="inlineStr">
        <is>
          <t>Physical room lock acquisition timing under live multi-threaded database load</t>
        </is>
      </c>
      <c r="M5" s="6" t="inlineStr">
        <is>
          <t>Merge history line 636 documents sample suite SpaServiceTests (12 tests); full module total reported at 24 tests.</t>
        </is>
      </c>
    </row>
    <row r="6" ht="20" customHeight="1">
      <c r="A6" s="5" t="inlineStr">
        <is>
          <t>Backend M4</t>
        </is>
      </c>
      <c r="B6" s="5" t="inlineStr">
        <is>
          <t>M4 Food &amp; Beverage Test Suites</t>
        </is>
      </c>
      <c r="C6" s="12" t="n">
        <v>42</v>
      </c>
      <c r="D6" s="12" t="n">
        <v>42</v>
      </c>
      <c r="E6" s="12" t="n">
        <v>0</v>
      </c>
      <c r="F6" s="12" t="n">
        <v>0</v>
      </c>
      <c r="G6" s="5" t="inlineStr">
        <is>
          <t>H2 in-memory / Spring Boot test context</t>
        </is>
      </c>
      <c r="H6" s="5" t="inlineStr">
        <is>
          <t>16.8s</t>
        </is>
      </c>
      <c r="I6" s="5" t="inlineStr">
        <is>
          <t>DERIVED_MODULE_BREAKDOWN</t>
        </is>
      </c>
      <c r="J6" s="5" t="inlineStr">
        <is>
          <t>REPORTED_IN_MODULE_SUMMARY</t>
        </is>
      </c>
      <c r="K6" s="5" t="inlineStr">
        <is>
          <t>Menu allergen filtering, daily meal plan placement, KDS lifecycle transitions, and recipe inventory deduction</t>
        </is>
      </c>
      <c r="L6" s="5" t="inlineStr">
        <is>
          <t>Kitchen printing hardware integration and multi-day meal schedule bulk ordering</t>
        </is>
      </c>
      <c r="M6" s="5" t="inlineStr">
        <is>
          <t>Merge history lines 637-642 document sample key suites (30 tests); full module total reported at 42 tests.</t>
        </is>
      </c>
    </row>
    <row r="7" ht="20" customHeight="1">
      <c r="A7" s="6" t="inlineStr">
        <is>
          <t>Backend M5</t>
        </is>
      </c>
      <c r="B7" s="6" t="inlineStr">
        <is>
          <t>M5 Billing &amp; Checkout Test Suites</t>
        </is>
      </c>
      <c r="C7" s="13" t="n">
        <v>48</v>
      </c>
      <c r="D7" s="13" t="n">
        <v>48</v>
      </c>
      <c r="E7" s="13" t="n">
        <v>0</v>
      </c>
      <c r="F7" s="13" t="n">
        <v>0</v>
      </c>
      <c r="G7" s="6" t="inlineStr">
        <is>
          <t>H2 in-memory / Spring Boot test context</t>
        </is>
      </c>
      <c r="H7" s="6" t="inlineStr">
        <is>
          <t>21.3s</t>
        </is>
      </c>
      <c r="I7" s="6" t="inlineStr">
        <is>
          <t>PRIMARY_SUITE_LOG</t>
        </is>
      </c>
      <c r="J7" s="6" t="inlineStr">
        <is>
          <t>REPORTED_IN_MODULE_SUMMARY</t>
        </is>
      </c>
      <c r="K7" s="6" t="inlineStr">
        <is>
          <t>Real-time folio aggregation, multi-item posting, VAT calculation, PDF generation, and customer reviews</t>
        </is>
      </c>
      <c r="L7" s="6" t="inlineStr">
        <is>
          <t>Payment terminal hardware integrations and high-volume invoice streaming under production load</t>
        </is>
      </c>
      <c r="M7" s="6" t="inlineStr">
        <is>
          <t>Merge history line 644 documents M5BillingAndCheckoutTests (48/48 passed).</t>
        </is>
      </c>
    </row>
    <row r="8" ht="20" customHeight="1">
      <c r="A8" s="5" t="inlineStr">
        <is>
          <t>Backend M6</t>
        </is>
      </c>
      <c r="B8" s="5" t="inlineStr">
        <is>
          <t>M6 Admin &amp; Governance Test Suites</t>
        </is>
      </c>
      <c r="C8" s="12" t="n">
        <v>49</v>
      </c>
      <c r="D8" s="12" t="n">
        <v>49</v>
      </c>
      <c r="E8" s="12" t="n">
        <v>0</v>
      </c>
      <c r="F8" s="12" t="n">
        <v>0</v>
      </c>
      <c r="G8" s="5" t="inlineStr">
        <is>
          <t>H2 in-memory / Spring Boot test context</t>
        </is>
      </c>
      <c r="H8" s="5" t="inlineStr">
        <is>
          <t>17.1s</t>
        </is>
      </c>
      <c r="I8" s="5" t="inlineStr">
        <is>
          <t>DERIVED_MODULE_BREAKDOWN</t>
        </is>
      </c>
      <c r="J8" s="5" t="inlineStr">
        <is>
          <t>REPORTED_IN_MODULE_SUMMARY</t>
        </is>
      </c>
      <c r="K8" s="5" t="inlineStr">
        <is>
          <t>Granular RBAC permission checks, staff account management, temporary manager delegation, and audit log</t>
        </is>
      </c>
      <c r="L8" s="5" t="inlineStr">
        <is>
          <t>Cluster-wide distributed cache invalidation upon parameter changes</t>
        </is>
      </c>
      <c r="M8" s="5" t="inlineStr">
        <is>
          <t>Merge history lines 645-650 document sample key suites (39 tests); full module total reported at 49 tests.</t>
        </is>
      </c>
    </row>
    <row r="9" ht="20" customHeight="1">
      <c r="A9" s="6" t="inlineStr">
        <is>
          <t>Backend Shared</t>
        </is>
      </c>
      <c r="B9" s="6" t="inlineStr">
        <is>
          <t>Security Context &amp; Infrastructure Suites</t>
        </is>
      </c>
      <c r="C9" s="13" t="n">
        <v>252</v>
      </c>
      <c r="D9" s="13" t="n">
        <v>242</v>
      </c>
      <c r="E9" s="13" t="n">
        <v>0</v>
      </c>
      <c r="F9" s="13" t="n">
        <v>10</v>
      </c>
      <c r="G9" s="6" t="inlineStr">
        <is>
          <t>H2 in-memory / Spring Security / WebMvc slices</t>
        </is>
      </c>
      <c r="H9" s="6" t="inlineStr">
        <is>
          <t>37.1s</t>
        </is>
      </c>
      <c r="I9" s="6" t="inlineStr">
        <is>
          <t>DERIVED_INFRA_BREAKDOWN</t>
        </is>
      </c>
      <c r="J9" s="6" t="inlineStr">
        <is>
          <t>REPORTED_IN_MODULE_SUMMARY</t>
        </is>
      </c>
      <c r="K9" s="6" t="inlineStr">
        <is>
          <t>Dual-chain security filter matching, global exception mapping, and UTF-8 encoding sanitization</t>
        </is>
      </c>
      <c r="L9" s="6" t="inlineStr">
        <is>
          <t>Live SQL Server 2022 connection pooling and distributed transaction coordinators</t>
        </is>
      </c>
      <c r="M9" s="6" t="inlineStr">
        <is>
          <t>Reported at 242 passed + 10 skipped = 252 total. M1-M6 (274 passed) + Shared (242 passed) = 516 passed.</t>
        </is>
      </c>
    </row>
    <row r="10" ht="20" customHeight="1">
      <c r="A10" s="5" t="inlineStr">
        <is>
          <t>Backend Live DB</t>
        </is>
      </c>
      <c r="B10" s="5" t="inlineStr">
        <is>
          <t>Opt-In SQL Server Smoke Tests (Guard)</t>
        </is>
      </c>
      <c r="C10" s="12" t="n">
        <v>10</v>
      </c>
      <c r="D10" s="12" t="n">
        <v>0</v>
      </c>
      <c r="E10" s="12" t="n">
        <v>0</v>
      </c>
      <c r="F10" s="12" t="n">
        <v>10</v>
      </c>
      <c r="G10" s="5" t="inlineStr">
        <is>
          <t>SQL Server (Target HSWRMS_TEST ID 45) - Opt-in disabled</t>
        </is>
      </c>
      <c r="H10" s="5" t="inlineStr">
        <is>
          <t>0.1s</t>
        </is>
      </c>
      <c r="I10" s="5" t="inlineStr">
        <is>
          <t>PRIMARY_OPT_IN_GUARD</t>
        </is>
      </c>
      <c r="J10" s="5" t="inlineStr">
        <is>
          <t>SKIPPED_BY_DESIGN</t>
        </is>
      </c>
      <c r="K10" s="5" t="inlineStr">
        <is>
          <t>Safe opt-in guard prevents accidental mutations when env variables are absent</t>
        </is>
      </c>
      <c r="L10" s="5" t="inlineStr">
        <is>
          <t>Does not prove SQL Server 2022 live runtime compatibility since tests were skipped</t>
        </is>
      </c>
      <c r="M10" s="5" t="inlineStr">
        <is>
          <t>Merge history lines 729-730 explicitly confirm smoke tests remained skipped by default to protect DB.</t>
        </is>
      </c>
    </row>
    <row r="11" ht="20" customHeight="1">
      <c r="A11" s="6" t="inlineStr">
        <is>
          <t>Backend Reconciliation Variance</t>
        </is>
      </c>
      <c r="B11" s="6" t="inlineStr">
        <is>
          <t>Unallocated Tests between Detailed Breakdown (516 Passed) and Reported Aggregate (526 Passed)</t>
        </is>
      </c>
      <c r="C11" s="13" t="n">
        <v>10</v>
      </c>
      <c r="D11" s="13" t="inlineStr">
        <is>
          <t>UNRESOLVED</t>
        </is>
      </c>
      <c r="E11" s="13" t="n">
        <v>0</v>
      </c>
      <c r="F11" s="13" t="n">
        <v>0</v>
      </c>
      <c r="G11" s="6" t="inlineStr">
        <is>
          <t>H2 in-memory / Detailed Category Allocation Gap</t>
        </is>
      </c>
      <c r="H11" s="6" t="inlineStr">
        <is>
          <t>N/A</t>
        </is>
      </c>
      <c r="I11" s="6" t="inlineStr">
        <is>
          <t>AUDIT_RECONCILIATION_FINDING</t>
        </is>
      </c>
      <c r="J11" s="6" t="inlineStr">
        <is>
          <t>UNRESOLVED_BREAKDOWN_VARIANCE</t>
        </is>
      </c>
      <c r="K11" s="6" t="inlineStr">
        <is>
          <t>Identifies exact mathematical 10-test gap between granular module rows (516 passed) and reported build aggregate (526 passed)</t>
        </is>
      </c>
      <c r="L11" s="6" t="inlineStr">
        <is>
          <t>Does not fabricate 10 passed tests to force a balance; records reconciliation variance pending Surefire XML log inspection</t>
        </is>
      </c>
      <c r="M11" s="6" t="inlineStr">
        <is>
          <t>Preserves Phase 118 aggregate (526 passed, 10 skipped, 536 total). Source text provides sample suites only; per-module breakdown cannot be resolved from supplied text alone.</t>
        </is>
      </c>
    </row>
    <row r="12" ht="20" customHeight="1">
      <c r="A12" s="5" t="inlineStr">
        <is>
          <t>Frontend Build</t>
        </is>
      </c>
      <c r="B12" s="5" t="inlineStr">
        <is>
          <t>Vite Production Build &amp; TypeScript Typecheck</t>
        </is>
      </c>
      <c r="C12" s="12" t="n">
        <v>2728</v>
      </c>
      <c r="D12" s="12" t="n">
        <v>2728</v>
      </c>
      <c r="E12" s="12" t="n">
        <v>0</v>
      </c>
      <c r="F12" s="12" t="n">
        <v>0</v>
      </c>
      <c r="G12" s="5" t="inlineStr">
        <is>
          <t>Node.js / Vite v8.3.4 / TypeScript ~6.0.2</t>
        </is>
      </c>
      <c r="H12" s="5" t="inlineStr">
        <is>
          <t>997ms</t>
        </is>
      </c>
      <c r="I12" s="5" t="inlineStr">
        <is>
          <t>PRIMARY_BUILD_LOG</t>
        </is>
      </c>
      <c r="J12" s="5" t="inlineStr">
        <is>
          <t>REPORTED_FROM_BUILD_LOGS</t>
        </is>
      </c>
      <c r="K12" s="5" t="inlineStr">
        <is>
          <t>Zero TypeScript compilation errors; all 2,728 modules transformed cleanly without syntax errors</t>
        </is>
      </c>
      <c r="L12" s="5" t="inlineStr">
        <is>
          <t>Runtime browser DOM interaction across different screen sizes and browsers</t>
        </is>
      </c>
      <c r="M12" s="5" t="inlineStr">
        <is>
          <t>Documented in merge history lines 652-662.</t>
        </is>
      </c>
    </row>
    <row r="13" ht="20" customHeight="1">
      <c r="A13" s="6" t="inlineStr">
        <is>
          <t>Frontend Lint</t>
        </is>
      </c>
      <c r="B13" s="6" t="inlineStr">
        <is>
          <t>Oxlint Static Analysis Audit</t>
        </is>
      </c>
      <c r="C13" s="13" t="n">
        <v>216</v>
      </c>
      <c r="D13" s="13" t="n">
        <v>216</v>
      </c>
      <c r="E13" s="13" t="n">
        <v>0</v>
      </c>
      <c r="F13" s="13" t="n">
        <v>0</v>
      </c>
      <c r="G13" s="6" t="inlineStr">
        <is>
          <t>Oxlint v1.81.0 (96 rules across 216 files)</t>
        </is>
      </c>
      <c r="H13" s="6" t="inlineStr">
        <is>
          <t>85ms</t>
        </is>
      </c>
      <c r="I13" s="6" t="inlineStr">
        <is>
          <t>PRIMARY_LINT_LOG</t>
        </is>
      </c>
      <c r="J13" s="6" t="inlineStr">
        <is>
          <t>REPORTED_FROM_LINT_LOGS</t>
        </is>
      </c>
      <c r="K13" s="6" t="inlineStr">
        <is>
          <t>Zero linting errors across 216 files; 10 informational non-blocking unused-variable warnings in fallback catches</t>
        </is>
      </c>
      <c r="L13" s="6" t="inlineStr">
        <is>
          <t>Runtime state reactivity or user interaction latency</t>
        </is>
      </c>
      <c r="M13" s="6" t="inlineStr">
        <is>
          <t>Documented in merge history lines 663-667.</t>
        </is>
      </c>
    </row>
    <row r="14" ht="20" customHeight="1">
      <c r="A14" s="5" t="inlineStr">
        <is>
          <t>Frontend Slices</t>
        </is>
      </c>
      <c r="B14" s="5" t="inlineStr">
        <is>
          <t>Frontend Contract &amp; Safety Test Suites</t>
        </is>
      </c>
      <c r="C14" s="12" t="n">
        <v>10</v>
      </c>
      <c r="D14" s="12" t="n">
        <v>10</v>
      </c>
      <c r="E14" s="12" t="n">
        <v>0</v>
      </c>
      <c r="F14" s="12" t="n">
        <v>0</v>
      </c>
      <c r="G14" s="5" t="inlineStr">
        <is>
          <t>Vitest / Node.js test runner</t>
        </is>
      </c>
      <c r="H14" s="5" t="inlineStr">
        <is>
          <t>2.4s</t>
        </is>
      </c>
      <c r="I14" s="5" t="inlineStr">
        <is>
          <t>DERIVED_SLICE_LOG</t>
        </is>
      </c>
      <c r="J14" s="5" t="inlineStr">
        <is>
          <t>REPORTED_FROM_SLICE_LOGS</t>
        </is>
      </c>
      <c r="K14" s="5" t="inlineStr">
        <is>
          <t>Client-side payment safety checks, booking resolvers, KDS queue safety, and admin API contracts</t>
        </is>
      </c>
      <c r="L14" s="5" t="inlineStr">
        <is>
          <t>End-to-end browser DOM interaction and live network latency</t>
        </is>
      </c>
      <c r="M14" s="5" t="inlineStr">
        <is>
          <t>Documented in frontend unit test reports.</t>
        </is>
      </c>
    </row>
  </sheetData>
  <autoFilter ref="A1:M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
  <sheetViews>
    <sheetView showGridLines="1" workbookViewId="0">
      <pane ySplit="1" topLeftCell="A2" activePane="bottomLeft" state="frozen"/>
      <selection pane="bottomLeft" activeCell="A1" sqref="A1"/>
    </sheetView>
  </sheetViews>
  <sheetFormatPr baseColWidth="8" defaultRowHeight="15"/>
  <cols>
    <col width="12" customWidth="1" min="1" max="1"/>
    <col width="15" customWidth="1" min="2" max="2"/>
    <col width="52" customWidth="1" min="3" max="3"/>
    <col width="52" customWidth="1" min="4" max="4"/>
    <col width="27" customWidth="1" min="5" max="5"/>
    <col width="12" customWidth="1" min="6" max="6"/>
    <col width="12" customWidth="1" min="7" max="7"/>
    <col width="52" customWidth="1" min="8" max="8"/>
    <col width="52" customWidth="1" min="9" max="9"/>
    <col width="52" customWidth="1" min="10" max="10"/>
    <col width="52" customWidth="1" min="11" max="11"/>
    <col width="52" customWidth="1" min="12" max="12"/>
    <col width="15" customWidth="1" min="13" max="13"/>
    <col width="52" customWidth="1" min="14" max="14"/>
  </cols>
  <sheetData>
    <row r="1" ht="28" customHeight="1">
      <c r="A1" s="4" t="inlineStr">
        <is>
          <t>Gap_ID</t>
        </is>
      </c>
      <c r="B1" s="4" t="inlineStr">
        <is>
          <t>Module</t>
        </is>
      </c>
      <c r="C1" s="4" t="inlineStr">
        <is>
          <t>Gap_Defect_Risk</t>
        </is>
      </c>
      <c r="D1" s="4" t="inlineStr">
        <is>
          <t>Evidence</t>
        </is>
      </c>
      <c r="E1" s="4" t="inlineStr">
        <is>
          <t>Gap_Category</t>
        </is>
      </c>
      <c r="F1" s="4" t="inlineStr">
        <is>
          <t>Impact</t>
        </is>
      </c>
      <c r="G1" s="4" t="inlineStr">
        <is>
          <t>Priority</t>
        </is>
      </c>
      <c r="H1" s="4" t="inlineStr">
        <is>
          <t>Proposed_Task</t>
        </is>
      </c>
      <c r="I1" s="4" t="inlineStr">
        <is>
          <t>Suggested_Owner_Raw</t>
        </is>
      </c>
      <c r="J1" s="4" t="inlineStr">
        <is>
          <t>Canonical_Owner</t>
        </is>
      </c>
      <c r="K1" s="4" t="inlineStr">
        <is>
          <t>Acceptance_Criteria</t>
        </is>
      </c>
      <c r="L1" s="4" t="inlineStr">
        <is>
          <t>Dependencies</t>
        </is>
      </c>
      <c r="M1" s="4" t="inlineStr">
        <is>
          <t>Audit_Status</t>
        </is>
      </c>
      <c r="N1" s="4" t="inlineStr">
        <is>
          <t>Verification_Note</t>
        </is>
      </c>
    </row>
    <row r="2" ht="20" customHeight="1">
      <c r="A2" s="5" t="inlineStr">
        <is>
          <t>GAP-01</t>
        </is>
      </c>
      <c r="B2" s="5" t="inlineStr">
        <is>
          <t>M2/M5</t>
        </is>
      </c>
      <c r="C2" s="5" t="inlineStr">
        <is>
          <t>Third-Party Payment Gateway Runtime Verification</t>
        </is>
      </c>
      <c r="D2" s="5" t="inlineStr">
        <is>
          <t>VNPayDepositServiceTest and CheckoutService test checksums via mocks; live VNPay IPN and redirect untried</t>
        </is>
      </c>
      <c r="E2" s="5" t="inlineStr">
        <is>
          <t>Runtime verification gap</t>
        </is>
      </c>
      <c r="F2" s="8" t="inlineStr">
        <is>
          <t>HIGH</t>
        </is>
      </c>
      <c r="G2" s="5" t="inlineStr">
        <is>
          <t>P1</t>
        </is>
      </c>
      <c r="H2" s="5" t="inlineStr">
        <is>
          <t>Configure VNPay sandbox credentials and verify live roundtrip deposit and checkout settlement</t>
        </is>
      </c>
      <c r="I2" s="5" t="inlineStr">
        <is>
          <t>Nguyễn Gia Đạt &amp; Trần Xuân Hòa (Proposed)</t>
        </is>
      </c>
      <c r="J2" s="5" t="inlineStr">
        <is>
          <t>Nguyễn Gia Đạt &amp; Tăng Xuân Hòa (Proposed)</t>
        </is>
      </c>
      <c r="K2" s="5" t="inlineStr">
        <is>
          <t>Live VNPay callback updates payment status in database and marks folio paid without errors</t>
        </is>
      </c>
      <c r="L2" s="5" t="inlineStr">
        <is>
          <t>VNPay sandbox credentials and public network tunnel</t>
        </is>
      </c>
      <c r="M2" s="11" t="inlineStr">
        <is>
          <t>OPEN</t>
        </is>
      </c>
      <c r="N2" s="5" t="inlineStr">
        <is>
          <t>Confirmed OPEN; no live runtime verification was authorized during audit</t>
        </is>
      </c>
    </row>
    <row r="3" ht="20" customHeight="1">
      <c r="A3" s="6" t="inlineStr">
        <is>
          <t>GAP-02</t>
        </is>
      </c>
      <c r="B3" s="6" t="inlineStr">
        <is>
          <t>M1</t>
        </is>
      </c>
      <c r="C3" s="6" t="inlineStr">
        <is>
          <t>Third-Party OAuth2 SSO Runtime Verification</t>
        </is>
      </c>
      <c r="D3" s="6" t="inlineStr">
        <is>
          <t>SsoAuthEndpointTests verify OAuth2 handlers via MockMvc; live Google/Facebook handshakes untried</t>
        </is>
      </c>
      <c r="E3" s="6" t="inlineStr">
        <is>
          <t>Runtime verification gap</t>
        </is>
      </c>
      <c r="F3" s="8" t="inlineStr">
        <is>
          <t>HIGH</t>
        </is>
      </c>
      <c r="G3" s="6" t="inlineStr">
        <is>
          <t>P1</t>
        </is>
      </c>
      <c r="H3" s="6" t="inlineStr">
        <is>
          <t>Configure Google and Facebook OAuth2 client secrets and verify live redirect login on staging</t>
        </is>
      </c>
      <c r="I3" s="6" t="inlineStr">
        <is>
          <t>Lê Đức Hoàng (Proposed)</t>
        </is>
      </c>
      <c r="J3" s="6" t="inlineStr">
        <is>
          <t>Lê Đức Hoàng (Proposed)</t>
        </is>
      </c>
      <c r="K3" s="6" t="inlineStr">
        <is>
          <t>Successful browser redirect login resulting in valid JWT issued to user</t>
        </is>
      </c>
      <c r="L3" s="6" t="inlineStr">
        <is>
          <t>Google/Facebook developer console app credentials</t>
        </is>
      </c>
      <c r="M3" s="11" t="inlineStr">
        <is>
          <t>OPEN</t>
        </is>
      </c>
      <c r="N3" s="6" t="inlineStr">
        <is>
          <t>Confirmed OPEN; no live runtime verification was authorized during audit</t>
        </is>
      </c>
    </row>
    <row r="4" ht="20" customHeight="1">
      <c r="A4" s="5" t="inlineStr">
        <is>
          <t>GAP-03</t>
        </is>
      </c>
      <c r="B4" s="5" t="inlineStr">
        <is>
          <t>Database</t>
        </is>
      </c>
      <c r="C4" s="5" t="inlineStr">
        <is>
          <t>Unexecuted Business Catalog Seed in HSWRMS_TEST</t>
        </is>
      </c>
      <c r="D4" s="5" t="inlineStr">
        <is>
          <t>Phase 5.8.3.112 seed execution failed on syntax error; fixed in 113 but script never re-executed; tables hold 0 rows</t>
        </is>
      </c>
      <c r="E4" s="5" t="inlineStr">
        <is>
          <t>Database alignment</t>
        </is>
      </c>
      <c r="F4" s="8" t="inlineStr">
        <is>
          <t>HIGH</t>
        </is>
      </c>
      <c r="G4" s="5" t="inlineStr">
        <is>
          <t>P1</t>
        </is>
      </c>
      <c r="H4" s="5" t="inlineStr">
        <is>
          <t>Execute remediated hswrms_test_business_catalog_seed.sql against HSWRMS_TEST under operator authorization</t>
        </is>
      </c>
      <c r="I4" s="5" t="inlineStr">
        <is>
          <t>Nguyễn Tất Đạt (Proposed)</t>
        </is>
      </c>
      <c r="J4" s="5" t="inlineStr">
        <is>
          <t>Nguyễn Tất Đạt (Proposed)</t>
        </is>
      </c>
      <c r="K4" s="5" t="inlineStr">
        <is>
          <t>All 10 business catalog tables populated with baseline reference data without syntax errors</t>
        </is>
      </c>
      <c r="L4" s="5" t="inlineStr">
        <is>
          <t>Operator authorization to connect to HSWRMS_TEST</t>
        </is>
      </c>
      <c r="M4" s="11" t="inlineStr">
        <is>
          <t>OPEN</t>
        </is>
      </c>
      <c r="N4" s="5" t="inlineStr">
        <is>
          <t>Confirmed OPEN; no live runtime verification was authorized during audit</t>
        </is>
      </c>
    </row>
    <row r="5" ht="20" customHeight="1">
      <c r="A5" s="6" t="inlineStr">
        <is>
          <t>GAP-04</t>
        </is>
      </c>
      <c r="B5" s="6" t="inlineStr">
        <is>
          <t>Database</t>
        </is>
      </c>
      <c r="C5" s="6" t="inlineStr">
        <is>
          <t>Sequential Migration Ordering for 4 Deferred Migration Scripts</t>
        </is>
      </c>
      <c r="D5" s="6" t="inlineStr">
        <is>
          <t>4 migration scripts (V003 V004 V005 draft_m6) remain untracked in migrations directory</t>
        </is>
      </c>
      <c r="E5" s="6" t="inlineStr">
        <is>
          <t>Database alignment</t>
        </is>
      </c>
      <c r="F5" s="11" t="inlineStr">
        <is>
          <t>MEDIUM</t>
        </is>
      </c>
      <c r="G5" s="6" t="inlineStr">
        <is>
          <t>P1</t>
        </is>
      </c>
      <c r="H5" s="6" t="inlineStr">
        <is>
          <t>Formulate Flyway migration baseline roadmap and assign strict sequential version numbering</t>
        </is>
      </c>
      <c r="I5" s="6" t="inlineStr">
        <is>
          <t>Nguyễn Tất Đạt (Proposed)</t>
        </is>
      </c>
      <c r="J5" s="6" t="inlineStr">
        <is>
          <t>Nguyễn Tất Đạt (Proposed)</t>
        </is>
      </c>
      <c r="K5" s="6" t="inlineStr">
        <is>
          <t>Flyway clean migration test completes against fresh database without FK or duplicate errors</t>
        </is>
      </c>
      <c r="L5" s="6" t="inlineStr">
        <is>
          <t>Resolution of canonical schema baseline</t>
        </is>
      </c>
      <c r="M5" s="11" t="inlineStr">
        <is>
          <t>OPEN</t>
        </is>
      </c>
      <c r="N5" s="6" t="inlineStr">
        <is>
          <t>Confirmed OPEN; no live runtime verification was authorized during audit</t>
        </is>
      </c>
    </row>
    <row r="6" ht="20" customHeight="1">
      <c r="A6" s="5" t="inlineStr">
        <is>
          <t>GAP-05</t>
        </is>
      </c>
      <c r="B6" s="5" t="inlineStr">
        <is>
          <t>Security</t>
        </is>
      </c>
      <c r="C6" s="5" t="inlineStr">
        <is>
          <t>Local Development Authentication Bypass Endpoint in SecurityConfig</t>
        </is>
      </c>
      <c r="D6" s="5" t="inlineStr">
        <is>
          <t>SecurityConfig.java has requestMatchers(/api/v1/auth/dev/**).permitAll(); DevAuthController issues instant JWT</t>
        </is>
      </c>
      <c r="E6" s="5" t="inlineStr">
        <is>
          <t>Security review</t>
        </is>
      </c>
      <c r="F6" s="5" t="inlineStr">
        <is>
          <t>CRITICAL</t>
        </is>
      </c>
      <c r="G6" s="5" t="inlineStr">
        <is>
          <t>P0</t>
        </is>
      </c>
      <c r="H6" s="5" t="inlineStr">
        <is>
          <t>Restrict dev authentication endpoints to dev Spring profile only (@Profile(dev))</t>
        </is>
      </c>
      <c r="I6" s="5" t="inlineStr">
        <is>
          <t>Lê Đức Hoàng &amp; Nguyễn Tất Đạt (Proposed)</t>
        </is>
      </c>
      <c r="J6" s="5" t="inlineStr">
        <is>
          <t>Lê Đức Hoàng &amp; Nguyễn Tất Đạt (Proposed)</t>
        </is>
      </c>
      <c r="K6" s="5" t="inlineStr">
        <is>
          <t>Endpoint returns 404/403 in default/production profile; dev bypass impossible in prod</t>
        </is>
      </c>
      <c r="L6" s="5" t="inlineStr">
        <is>
          <t>Profile configuration in application.yml</t>
        </is>
      </c>
      <c r="M6" s="11" t="inlineStr">
        <is>
          <t>OPEN</t>
        </is>
      </c>
      <c r="N6" s="5" t="inlineStr">
        <is>
          <t>Confirmed OPEN; no live runtime verification was authorized during audit</t>
        </is>
      </c>
    </row>
    <row r="7" ht="20" customHeight="1">
      <c r="A7" s="6" t="inlineStr">
        <is>
          <t>GAP-06</t>
        </is>
      </c>
      <c r="B7" s="6" t="inlineStr">
        <is>
          <t>Cross-Module</t>
        </is>
      </c>
      <c r="C7" s="6" t="inlineStr">
        <is>
          <t>End-to-End Operational Lifecycle Traversal Across M1-M6</t>
        </is>
      </c>
      <c r="D7" s="6" t="inlineStr">
        <is>
          <t>All module tests pass in isolation; complete end-to-end user journey untried in running deployment</t>
        </is>
      </c>
      <c r="E7" s="6" t="inlineStr">
        <is>
          <t>Runtime verification gap</t>
        </is>
      </c>
      <c r="F7" s="8" t="inlineStr">
        <is>
          <t>HIGH</t>
        </is>
      </c>
      <c r="G7" s="6" t="inlineStr">
        <is>
          <t>P1</t>
        </is>
      </c>
      <c r="H7" s="6" t="inlineStr">
        <is>
          <t>Deploy backend and frontend to staging server and perform full end-to-end user walkthrough</t>
        </is>
      </c>
      <c r="I7" s="6" t="inlineStr">
        <is>
          <t>Entire Team (Facilitated by Nguyễn Tất Đạt) (Proposed)</t>
        </is>
      </c>
      <c r="J7" s="6" t="inlineStr">
        <is>
          <t>Entire Team (Facilitated by Nguyễn Tất Đạt) (Proposed)</t>
        </is>
      </c>
      <c r="K7" s="6" t="inlineStr">
        <is>
          <t>Guest books retreat -&gt; Check-in -&gt; Order meal in KDS -&gt; Attend spa -&gt; Single checkout folio printed</t>
        </is>
      </c>
      <c r="L7" s="6" t="inlineStr">
        <is>
          <t>Staging environment deployment</t>
        </is>
      </c>
      <c r="M7" s="11" t="inlineStr">
        <is>
          <t>OPEN</t>
        </is>
      </c>
      <c r="N7" s="6" t="inlineStr">
        <is>
          <t>Confirmed OPEN; no live runtime verification was authorized during audit</t>
        </is>
      </c>
    </row>
    <row r="8" ht="20" customHeight="1">
      <c r="A8" s="5" t="inlineStr">
        <is>
          <t>GAP-07</t>
        </is>
      </c>
      <c r="B8" s="5" t="inlineStr">
        <is>
          <t>M2/M4</t>
        </is>
      </c>
      <c r="C8" s="5" t="inlineStr">
        <is>
          <t>High-Concurrency Contention Under Live Database Connection Pool</t>
        </is>
      </c>
      <c r="D8" s="5" t="inlineStr">
        <is>
          <t>H2 tests do not simulate concurrent row locks; SQL Server UPDLOCK hints need multi-threaded verification</t>
        </is>
      </c>
      <c r="E8" s="5" t="inlineStr">
        <is>
          <t>Performance/concurrency</t>
        </is>
      </c>
      <c r="F8" s="11" t="inlineStr">
        <is>
          <t>MEDIUM</t>
        </is>
      </c>
      <c r="G8" s="5" t="inlineStr">
        <is>
          <t>P2</t>
        </is>
      </c>
      <c r="H8" s="5" t="inlineStr">
        <is>
          <t>Execute concurrency load test for simultaneous room booking and kitchen inventory deduction</t>
        </is>
      </c>
      <c r="I8" s="5" t="inlineStr">
        <is>
          <t>Nguyễn Gia Đạt &amp; Vũ Phương Thảo (Proposed)</t>
        </is>
      </c>
      <c r="J8" s="5" t="inlineStr">
        <is>
          <t>Nguyễn Gia Đạt &amp; Vũ Phương Thảo (Proposed)</t>
        </is>
      </c>
      <c r="K8" s="5" t="inlineStr">
        <is>
          <t>Zero double-bookings and zero negative stock balances under 50 concurrent requests</t>
        </is>
      </c>
      <c r="L8" s="5" t="inlineStr">
        <is>
          <t>Live database connection pool (HikariCP)</t>
        </is>
      </c>
      <c r="M8" s="11" t="inlineStr">
        <is>
          <t>OPEN</t>
        </is>
      </c>
      <c r="N8" s="5" t="inlineStr">
        <is>
          <t>Confirmed OPEN; no live runtime verification was authorized during audit</t>
        </is>
      </c>
    </row>
    <row r="9" ht="20" customHeight="1">
      <c r="A9" s="6" t="inlineStr">
        <is>
          <t>GAP-08</t>
        </is>
      </c>
      <c r="B9" s="6" t="inlineStr">
        <is>
          <t>M1</t>
        </is>
      </c>
      <c r="C9" s="6" t="inlineStr">
        <is>
          <t>Live Production Email Delivery Configuration</t>
        </is>
      </c>
      <c r="D9" s="6" t="inlineStr">
        <is>
          <t>DevEmailDeliveryAdapter logs OTP codes to console; live SMTP adapter requires active credentials</t>
        </is>
      </c>
      <c r="E9" s="6" t="inlineStr">
        <is>
          <t>Runtime verification gap</t>
        </is>
      </c>
      <c r="F9" s="14" t="inlineStr">
        <is>
          <t>LOW</t>
        </is>
      </c>
      <c r="G9" s="6" t="inlineStr">
        <is>
          <t>P2</t>
        </is>
      </c>
      <c r="H9" s="6" t="inlineStr">
        <is>
          <t>Configure SMTP host username password in production environment variables</t>
        </is>
      </c>
      <c r="I9" s="6" t="inlineStr">
        <is>
          <t>Lê Đức Hoàng (Proposed)</t>
        </is>
      </c>
      <c r="J9" s="6" t="inlineStr">
        <is>
          <t>Lê Đức Hoàng (Proposed)</t>
        </is>
      </c>
      <c r="K9" s="6" t="inlineStr">
        <is>
          <t>Real email OTP delivered to customer inbox within 30 seconds of registration</t>
        </is>
      </c>
      <c r="L9" s="6" t="inlineStr">
        <is>
          <t>Valid SMTP server or SendGrid API key</t>
        </is>
      </c>
      <c r="M9" s="11" t="inlineStr">
        <is>
          <t>OPEN</t>
        </is>
      </c>
      <c r="N9" s="6" t="inlineStr">
        <is>
          <t>Confirmed OPEN; no live runtime verification was authorized during audit</t>
        </is>
      </c>
    </row>
  </sheetData>
  <autoFilter ref="A1:N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
  <sheetViews>
    <sheetView showGridLines="1" workbookViewId="0">
      <pane ySplit="1" topLeftCell="A2" activePane="bottomLeft" state="frozen"/>
      <selection pane="bottomLeft" activeCell="A1" sqref="A1"/>
    </sheetView>
  </sheetViews>
  <sheetFormatPr baseColWidth="8" defaultRowHeight="15"/>
  <cols>
    <col width="14" customWidth="1" min="1" max="1"/>
    <col width="40" customWidth="1" min="2" max="2"/>
    <col width="12" customWidth="1" min="3" max="3"/>
    <col width="28" customWidth="1" min="4" max="4"/>
    <col width="20" customWidth="1" min="5" max="5"/>
    <col width="22" customWidth="1" min="6" max="6"/>
    <col width="27" customWidth="1" min="7" max="7"/>
    <col width="22" customWidth="1" min="8" max="8"/>
    <col width="21" customWidth="1" min="9" max="9"/>
    <col width="23" customWidth="1" min="10" max="10"/>
    <col width="52" customWidth="1" min="11" max="11"/>
    <col width="38" customWidth="1" min="12" max="12"/>
  </cols>
  <sheetData>
    <row r="1" ht="28" customHeight="1">
      <c r="A1" s="4" t="inlineStr">
        <is>
          <t>Mã tiêu chí</t>
        </is>
      </c>
      <c r="B1" s="4" t="inlineStr">
        <is>
          <t>Tên tiêu chí đánh giá năng lực</t>
        </is>
      </c>
      <c r="C1" s="4" t="inlineStr">
        <is>
          <t>Trọng số</t>
        </is>
      </c>
      <c r="D1" s="4" t="inlineStr">
        <is>
          <t>Nhóm tiêu chí chuẩn</t>
        </is>
      </c>
      <c r="E1" s="4" t="inlineStr">
        <is>
          <t>Lê Đức Hoàng (M1)</t>
        </is>
      </c>
      <c r="F1" s="4" t="inlineStr">
        <is>
          <t>Nguyễn Gia Đạt (M2)</t>
        </is>
      </c>
      <c r="G1" s="4" t="inlineStr">
        <is>
          <t>Nguyễn Tất Đạt (M3+Lead)</t>
        </is>
      </c>
      <c r="H1" s="4" t="inlineStr">
        <is>
          <t>Vũ Phương Thảo (M4)</t>
        </is>
      </c>
      <c r="I1" s="4" t="inlineStr">
        <is>
          <t>Tăng Xuân Hòa (M5)</t>
        </is>
      </c>
      <c r="J1" s="4" t="inlineStr">
        <is>
          <t>Phạm Thành Vinh (M6)</t>
        </is>
      </c>
      <c r="K1" s="4" t="inlineStr">
        <is>
          <t>Bằng chứng đối soát chính</t>
        </is>
      </c>
      <c r="L1" s="4" t="inlineStr">
        <is>
          <t>Phương pháp xác minh</t>
        </is>
      </c>
    </row>
    <row r="2" ht="20" customHeight="1">
      <c r="A2" s="5" t="inlineStr">
        <is>
          <t>TC-01</t>
        </is>
      </c>
      <c r="B2" s="5" t="inlineStr">
        <is>
          <t>Mức độ hoàn thành nhiệm vụ (WBS)</t>
        </is>
      </c>
      <c r="C2" s="15" t="n">
        <v>0.1</v>
      </c>
      <c r="D2" s="5" t="inlineStr">
        <is>
          <t>Chuyên cần &amp; WBS (20%)</t>
        </is>
      </c>
      <c r="E2" s="16" t="n">
        <v>9</v>
      </c>
      <c r="F2" s="16" t="n">
        <v>8.800000000000001</v>
      </c>
      <c r="G2" s="16" t="n">
        <v>9.800000000000001</v>
      </c>
      <c r="H2" s="16" t="n">
        <v>9.5</v>
      </c>
      <c r="I2" s="16" t="n">
        <v>9</v>
      </c>
      <c r="J2" s="16" t="n">
        <v>9</v>
      </c>
      <c r="K2" s="5" t="inlineStr">
        <is>
          <t>Bảng phân công WBS 180 tác vụ; lịch sử Git commit</t>
        </is>
      </c>
      <c r="L2" s="5" t="inlineStr">
        <is>
          <t>Đối chiếu WBS và code thực tế</t>
        </is>
      </c>
    </row>
    <row r="3" ht="20" customHeight="1">
      <c r="A3" s="6" t="inlineStr">
        <is>
          <t>TC-02</t>
        </is>
      </c>
      <c r="B3" s="6" t="inlineStr">
        <is>
          <t>Phạm vi chức năng &amp; Độ phức tạp</t>
        </is>
      </c>
      <c r="C3" s="17" t="n">
        <v>0.15</v>
      </c>
      <c r="D3" s="6" t="inlineStr">
        <is>
          <t>Chất lượng Code (35%)</t>
        </is>
      </c>
      <c r="E3" s="18" t="n">
        <v>9.199999999999999</v>
      </c>
      <c r="F3" s="18" t="n">
        <v>9</v>
      </c>
      <c r="G3" s="18" t="n">
        <v>9.800000000000001</v>
      </c>
      <c r="H3" s="18" t="n">
        <v>9.199999999999999</v>
      </c>
      <c r="I3" s="18" t="n">
        <v>9.5</v>
      </c>
      <c r="J3" s="18" t="n">
        <v>9</v>
      </c>
      <c r="K3" s="6" t="inlineStr">
        <is>
          <t>Kiến trúc Controller, Service, DTO, Entity</t>
        </is>
      </c>
      <c r="L3" s="6" t="inlineStr">
        <is>
          <t>Đánh giá độ sâu logic nghiệp vụ</t>
        </is>
      </c>
    </row>
    <row r="4" ht="20" customHeight="1">
      <c r="A4" s="5" t="inlineStr">
        <is>
          <t>TC-03</t>
        </is>
      </c>
      <c r="B4" s="5" t="inlineStr">
        <is>
          <t>Chất lượng thiết kế &amp; Clean Code</t>
        </is>
      </c>
      <c r="C4" s="15" t="n">
        <v>0.15</v>
      </c>
      <c r="D4" s="5" t="inlineStr">
        <is>
          <t>Chất lượng Code (35%)</t>
        </is>
      </c>
      <c r="E4" s="16" t="n">
        <v>9</v>
      </c>
      <c r="F4" s="16" t="n">
        <v>9</v>
      </c>
      <c r="G4" s="16" t="n">
        <v>9.800000000000001</v>
      </c>
      <c r="H4" s="16" t="n">
        <v>9.199999999999999</v>
      </c>
      <c r="I4" s="16" t="n">
        <v>9</v>
      </c>
      <c r="J4" s="16" t="n">
        <v>9</v>
      </c>
      <c r="K4" s="5" t="inlineStr">
        <is>
          <t>Mã nguồn backend và frontend; kết quả Oxlint</t>
        </is>
      </c>
      <c r="L4" s="5" t="inlineStr">
        <is>
          <t>Kiểm tra cấu trúc phân tầng</t>
        </is>
      </c>
    </row>
    <row r="5" ht="20" customHeight="1">
      <c r="A5" s="6" t="inlineStr">
        <is>
          <t>TC-04</t>
        </is>
      </c>
      <c r="B5" s="6" t="inlineStr">
        <is>
          <t>Xử lý nghiệp vụ &amp; Edge Cases</t>
        </is>
      </c>
      <c r="C5" s="17" t="n">
        <v>0.1</v>
      </c>
      <c r="D5" s="6" t="inlineStr">
        <is>
          <t>Kiểm thử &amp; Ổn định (25%)</t>
        </is>
      </c>
      <c r="E5" s="18" t="n">
        <v>9.199999999999999</v>
      </c>
      <c r="F5" s="18" t="n">
        <v>8.800000000000001</v>
      </c>
      <c r="G5" s="18" t="n">
        <v>9.800000000000001</v>
      </c>
      <c r="H5" s="18" t="n">
        <v>9.5</v>
      </c>
      <c r="I5" s="18" t="n">
        <v>9.199999999999999</v>
      </c>
      <c r="J5" s="18" t="n">
        <v>8.800000000000001</v>
      </c>
      <c r="K5" s="6" t="inlineStr">
        <is>
          <t>Service layer validation; Exception handlers</t>
        </is>
      </c>
      <c r="L5" s="6" t="inlineStr">
        <is>
          <t>Soát xét các kịch bản ngoại lệ</t>
        </is>
      </c>
    </row>
    <row r="6" ht="20" customHeight="1">
      <c r="A6" s="5" t="inlineStr">
        <is>
          <t>TC-05</t>
        </is>
      </c>
      <c r="B6" s="5" t="inlineStr">
        <is>
          <t>Kiểm thử tự động &amp; Bằng chứng</t>
        </is>
      </c>
      <c r="C6" s="15" t="n">
        <v>0.15</v>
      </c>
      <c r="D6" s="5" t="inlineStr">
        <is>
          <t>Kiểm thử &amp; Ổn định (25%)</t>
        </is>
      </c>
      <c r="E6" s="16" t="n">
        <v>9.5</v>
      </c>
      <c r="F6" s="16" t="n">
        <v>8.800000000000001</v>
      </c>
      <c r="G6" s="16" t="n">
        <v>9.800000000000001</v>
      </c>
      <c r="H6" s="16" t="n">
        <v>9</v>
      </c>
      <c r="I6" s="16" t="n">
        <v>9.5</v>
      </c>
      <c r="J6" s="16" t="n">
        <v>9</v>
      </c>
      <c r="K6" s="5" t="inlineStr">
        <is>
          <t>536 tests backend; test slice frontend</t>
        </is>
      </c>
      <c r="L6" s="5" t="inlineStr">
        <is>
          <t>Kiểm tra báo cáo Maven Surefire</t>
        </is>
      </c>
    </row>
    <row r="7" ht="20" customHeight="1">
      <c r="A7" s="6" t="inlineStr">
        <is>
          <t>TC-06</t>
        </is>
      </c>
      <c r="B7" s="6" t="inlineStr">
        <is>
          <t>Sửa lỗi &amp; Độ ổn định</t>
        </is>
      </c>
      <c r="C7" s="17" t="n">
        <v>0.05</v>
      </c>
      <c r="D7" s="6" t="inlineStr">
        <is>
          <t>Tích hợp &amp; Phối hợp (20%)</t>
        </is>
      </c>
      <c r="E7" s="18" t="n">
        <v>9</v>
      </c>
      <c r="F7" s="18" t="n">
        <v>9</v>
      </c>
      <c r="G7" s="18" t="n">
        <v>9.800000000000001</v>
      </c>
      <c r="H7" s="18" t="n">
        <v>9.5</v>
      </c>
      <c r="I7" s="18" t="n">
        <v>8.800000000000001</v>
      </c>
      <c r="J7" s="18" t="n">
        <v>8.800000000000001</v>
      </c>
      <c r="K7" s="6" t="inlineStr">
        <is>
          <t>Commit fix bug: 52a6bd9, 299a37d, 1f7ebc1</t>
        </is>
      </c>
      <c r="L7" s="6" t="inlineStr">
        <is>
          <t>Phân tích nguyên nhân và cách sửa</t>
        </is>
      </c>
    </row>
    <row r="8" ht="20" customHeight="1">
      <c r="A8" s="5" t="inlineStr">
        <is>
          <t>TC-07</t>
        </is>
      </c>
      <c r="B8" s="5" t="inlineStr">
        <is>
          <t>Tích hợp liên module &amp; API Contracts</t>
        </is>
      </c>
      <c r="C8" s="15" t="n">
        <v>0.1</v>
      </c>
      <c r="D8" s="5" t="inlineStr">
        <is>
          <t>Tích hợp &amp; Phối hợp (20%)</t>
        </is>
      </c>
      <c r="E8" s="16" t="n">
        <v>9</v>
      </c>
      <c r="F8" s="16" t="n">
        <v>8.800000000000001</v>
      </c>
      <c r="G8" s="16" t="n">
        <v>10</v>
      </c>
      <c r="H8" s="16" t="n">
        <v>9.199999999999999</v>
      </c>
      <c r="I8" s="16" t="n">
        <v>8.800000000000001</v>
      </c>
      <c r="J8" s="16" t="n">
        <v>8.800000000000001</v>
      </c>
      <c r="K8" s="5" t="inlineStr">
        <is>
          <t>Điểm chạm: M1-M2, M2-M5, M3-M5, M4-M5</t>
        </is>
      </c>
      <c r="L8" s="5" t="inlineStr">
        <is>
          <t>Kiểm tra REST API contracts</t>
        </is>
      </c>
    </row>
    <row r="9" ht="20" customHeight="1">
      <c r="A9" s="6" t="inlineStr">
        <is>
          <t>TC-08</t>
        </is>
      </c>
      <c r="B9" s="6" t="inlineStr">
        <is>
          <t>Tài liệu kỹ thuật &amp; Bàn giao</t>
        </is>
      </c>
      <c r="C9" s="17" t="n">
        <v>0.05</v>
      </c>
      <c r="D9" s="6" t="inlineStr">
        <is>
          <t>Chuyên cần &amp; WBS (20%)</t>
        </is>
      </c>
      <c r="E9" s="18" t="n">
        <v>9.800000000000001</v>
      </c>
      <c r="F9" s="18" t="n">
        <v>8.5</v>
      </c>
      <c r="G9" s="18" t="n">
        <v>9.800000000000001</v>
      </c>
      <c r="H9" s="18" t="n">
        <v>9</v>
      </c>
      <c r="I9" s="18" t="n">
        <v>8.5</v>
      </c>
      <c r="J9" s="18" t="n">
        <v>9.199999999999999</v>
      </c>
      <c r="K9" s="6" t="inlineStr">
        <is>
          <t>M1_HANDOFF, SRS, README, Báo cáo Phase</t>
        </is>
      </c>
      <c r="L9" s="6" t="inlineStr">
        <is>
          <t>Đọc các file tài liệu markdown/docx</t>
        </is>
      </c>
    </row>
    <row r="10" ht="20" customHeight="1">
      <c r="A10" s="5" t="inlineStr">
        <is>
          <t>TC-09</t>
        </is>
      </c>
      <c r="B10" s="5" t="inlineStr">
        <is>
          <t>Chủ động phát hiện &amp; Kiểm soát rủi ro</t>
        </is>
      </c>
      <c r="C10" s="15" t="n">
        <v>0.05</v>
      </c>
      <c r="D10" s="5" t="inlineStr">
        <is>
          <t>Chất lượng Code (35%)</t>
        </is>
      </c>
      <c r="E10" s="16" t="n">
        <v>8.800000000000001</v>
      </c>
      <c r="F10" s="16" t="n">
        <v>8.800000000000001</v>
      </c>
      <c r="G10" s="16" t="n">
        <v>10</v>
      </c>
      <c r="H10" s="16" t="n">
        <v>9.199999999999999</v>
      </c>
      <c r="I10" s="16" t="n">
        <v>8.5</v>
      </c>
      <c r="J10" s="16" t="n">
        <v>8.800000000000001</v>
      </c>
      <c r="K10" s="5" t="inlineStr">
        <is>
          <t>Báo cáo audit, quyết định selective merge</t>
        </is>
      </c>
      <c r="L10" s="5" t="inlineStr">
        <is>
          <t>Đánh giá các quyết định kỹ thuật</t>
        </is>
      </c>
    </row>
    <row r="11" ht="20" customHeight="1">
      <c r="A11" s="6" t="inlineStr">
        <is>
          <t>TC-10</t>
        </is>
      </c>
      <c r="B11" s="6" t="inlineStr">
        <is>
          <t>Phối hợp nhóm &amp; Hỗ trợ tích hợp</t>
        </is>
      </c>
      <c r="C11" s="17" t="n">
        <v>0.05</v>
      </c>
      <c r="D11" s="6" t="inlineStr">
        <is>
          <t>Tích hợp &amp; Phối hợp (20%)</t>
        </is>
      </c>
      <c r="E11" s="18" t="n">
        <v>9</v>
      </c>
      <c r="F11" s="18" t="n">
        <v>8.800000000000001</v>
      </c>
      <c r="G11" s="18" t="n">
        <v>10</v>
      </c>
      <c r="H11" s="18" t="n">
        <v>9.199999999999999</v>
      </c>
      <c r="I11" s="18" t="n">
        <v>8.800000000000001</v>
      </c>
      <c r="J11" s="18" t="n">
        <v>8.800000000000001</v>
      </c>
      <c r="K11" s="6" t="inlineStr">
        <is>
          <t>Lịch sử merge branch; giải quyết conflict</t>
        </is>
      </c>
      <c r="L11" s="6" t="inlineStr">
        <is>
          <t>Xem xét thái độ và kết quả hợp nhất</t>
        </is>
      </c>
    </row>
    <row r="12" ht="20" customHeight="1">
      <c r="A12" s="5" t="inlineStr">
        <is>
          <t>TC-11</t>
        </is>
      </c>
      <c r="B12" s="5" t="inlineStr">
        <is>
          <t>Mức độ xác minh kết quả cuối cùng</t>
        </is>
      </c>
      <c r="C12" s="15" t="n">
        <v>0.05</v>
      </c>
      <c r="D12" s="5" t="inlineStr">
        <is>
          <t>Chuyên cần &amp; WBS (20%)</t>
        </is>
      </c>
      <c r="E12" s="16" t="n">
        <v>9.199999999999999</v>
      </c>
      <c r="F12" s="16" t="n">
        <v>8.800000000000001</v>
      </c>
      <c r="G12" s="16" t="n">
        <v>9.800000000000001</v>
      </c>
      <c r="H12" s="16" t="n">
        <v>9.199999999999999</v>
      </c>
      <c r="I12" s="16" t="n">
        <v>9.199999999999999</v>
      </c>
      <c r="J12" s="16" t="n">
        <v>9</v>
      </c>
      <c r="K12" s="5" t="inlineStr">
        <is>
          <t>Build success; 526 passed tests; 0 errors</t>
        </is>
      </c>
      <c r="L12" s="5" t="inlineStr">
        <is>
          <t>Đối chiếu kết quả kiểm thử thực tế</t>
        </is>
      </c>
    </row>
    <row r="13">
      <c r="A13" s="19" t="inlineStr">
        <is>
          <t>TỔNG CỘNG</t>
        </is>
      </c>
      <c r="B13" s="19" t="inlineStr">
        <is>
          <t>Kiểm tra tổng trọng số &amp; Điểm tính trực tiếp</t>
        </is>
      </c>
      <c r="C13" s="20">
        <f>SUM(C2:C12)</f>
        <v/>
      </c>
      <c r="D13" s="21" t="n"/>
      <c r="E13" s="22">
        <f>SUMPRODUCT($C$2:$C$12, E2:E12)</f>
        <v/>
      </c>
      <c r="F13" s="22">
        <f>SUMPRODUCT($C$2:$C$12, F2:F12)</f>
        <v/>
      </c>
      <c r="G13" s="22">
        <f>SUMPRODUCT($C$2:$C$12, G2:G12)</f>
        <v/>
      </c>
      <c r="H13" s="22">
        <f>SUMPRODUCT($C$2:$C$12, H2:H12)</f>
        <v/>
      </c>
      <c r="I13" s="22">
        <f>SUMPRODUCT($C$2:$C$12, I2:I12)</f>
        <v/>
      </c>
      <c r="J13" s="22">
        <f>SUMPRODUCT($C$2:$C$12, J2:J12)</f>
        <v/>
      </c>
      <c r="K13" s="21" t="n"/>
      <c r="L13" s="21" t="n"/>
    </row>
  </sheetData>
  <autoFilter ref="A1:L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1"/>
  <sheetViews>
    <sheetView showGridLines="1" workbookViewId="0">
      <pane ySplit="1" topLeftCell="A2" activePane="bottomLeft" state="frozen"/>
      <selection pane="bottomLeft" activeCell="A1" sqref="A1"/>
    </sheetView>
  </sheetViews>
  <sheetFormatPr baseColWidth="8" defaultRowHeight="15"/>
  <cols>
    <col width="16" customWidth="1" min="1" max="1"/>
    <col width="18" customWidth="1" min="2" max="2"/>
    <col width="39" customWidth="1" min="3" max="3"/>
    <col width="12" customWidth="1" min="4" max="4"/>
    <col width="38" customWidth="1" min="5" max="5"/>
    <col width="35" customWidth="1" min="6" max="6"/>
    <col width="16" customWidth="1" min="7" max="7"/>
    <col width="14" customWidth="1" min="8" max="8"/>
    <col width="52" customWidth="1" min="9" max="9"/>
    <col width="52" customWidth="1" min="10" max="10"/>
    <col width="52" customWidth="1" min="11" max="11"/>
    <col width="52" customWidth="1" min="12" max="12"/>
    <col width="52" customWidth="1" min="13" max="13"/>
    <col width="51" customWidth="1" min="14" max="14"/>
    <col width="13" customWidth="1" min="15" max="15"/>
    <col width="52" customWidth="1" min="16" max="16"/>
  </cols>
  <sheetData>
    <row r="1" ht="28" customHeight="1">
      <c r="A1" s="4" t="inlineStr">
        <is>
          <t>Mã thành viên</t>
        </is>
      </c>
      <c r="B1" s="4" t="inlineStr">
        <is>
          <t>Họ và tên chuẩn</t>
        </is>
      </c>
      <c r="C1" s="4" t="inlineStr">
        <is>
          <t>Bí danh / Alias Git</t>
        </is>
      </c>
      <c r="D1" s="4" t="inlineStr">
        <is>
          <t>MSSV</t>
        </is>
      </c>
      <c r="E1" s="4" t="inlineStr">
        <is>
          <t>Vai trò dự án</t>
        </is>
      </c>
      <c r="F1" s="4" t="inlineStr">
        <is>
          <t>Module chính</t>
        </is>
      </c>
      <c r="G1" s="4" t="inlineStr">
        <is>
          <t>Số commit Git</t>
        </is>
      </c>
      <c r="H1" s="4" t="inlineStr">
        <is>
          <t>Số bài test</t>
        </is>
      </c>
      <c r="I1" s="4" t="inlineStr">
        <is>
          <t>Chuyên cần &amp; WBS (20%)</t>
        </is>
      </c>
      <c r="J1" s="4" t="inlineStr">
        <is>
          <t>Chất lượng Code (35%)</t>
        </is>
      </c>
      <c r="K1" s="4" t="inlineStr">
        <is>
          <t>Kiểm thử &amp; Ổn định (25%)</t>
        </is>
      </c>
      <c r="L1" s="4" t="inlineStr">
        <is>
          <t>Tích hợp &amp; Phối hợp (20%)</t>
        </is>
      </c>
      <c r="M1" s="4" t="inlineStr">
        <is>
          <t>Điểm tổng kết (Trực tiếp 11 tiêu chí)</t>
        </is>
      </c>
      <c r="N1" s="4" t="inlineStr">
        <is>
          <t>Xếp loại</t>
        </is>
      </c>
      <c r="O1" s="4" t="inlineStr">
        <is>
          <t>Độ tin cậy</t>
        </is>
      </c>
      <c r="P1" s="4" t="inlineStr">
        <is>
          <t>Đánh giá năng lực &amp; Đóng góp nổi bật</t>
        </is>
      </c>
    </row>
    <row r="2" ht="20" customHeight="1">
      <c r="A2" s="5" t="inlineStr">
        <is>
          <t>MEM-01</t>
        </is>
      </c>
      <c r="B2" s="5" t="inlineStr">
        <is>
          <t>Lê Đức Hoàng</t>
        </is>
      </c>
      <c r="C2" s="5" t="inlineStr">
        <is>
          <t>Le Duc Hoang</t>
        </is>
      </c>
      <c r="D2" s="5" t="inlineStr">
        <is>
          <t>HE204568</t>
        </is>
      </c>
      <c r="E2" s="5" t="inlineStr">
        <is>
          <t>Module 1 Lead / Developer</t>
        </is>
      </c>
      <c r="F2" s="5" t="inlineStr">
        <is>
          <t>M1 - Identity &amp; Access</t>
        </is>
      </c>
      <c r="G2" s="12" t="n">
        <v>13</v>
      </c>
      <c r="H2" s="12" t="n">
        <v>77</v>
      </c>
      <c r="I2" s="23">
        <f>(Scoring_Rubric!E2*0.1 + Scoring_Rubric!E9*0.05 + Scoring_Rubric!E12*0.05)/0.2</f>
        <v/>
      </c>
      <c r="J2" s="23">
        <f>(Scoring_Rubric!E3*0.15 + Scoring_Rubric!E4*0.15 + Scoring_Rubric!E10*0.05)/0.35</f>
        <v/>
      </c>
      <c r="K2" s="23">
        <f>(Scoring_Rubric!E5*0.10 + Scoring_Rubric!E6*0.15)/0.25</f>
        <v/>
      </c>
      <c r="L2" s="23">
        <f>(Scoring_Rubric!E7*0.05 + Scoring_Rubric!E8*0.10 + Scoring_Rubric!E11*0.05)/0.2</f>
        <v/>
      </c>
      <c r="M2" s="23">
        <f>SUMPRODUCT(Scoring_Rubric!$C$2:$C$12, Scoring_Rubric!E2:Scoring_Rubric!E12)</f>
        <v/>
      </c>
      <c r="N2" s="24">
        <f>IF(M2&gt;=9.0,"Xuất sắc",IF(M2&gt;=8.0,"Giỏi","Khá"))</f>
        <v/>
      </c>
      <c r="O2" s="8" t="inlineStr">
        <is>
          <t>HIGH</t>
        </is>
      </c>
      <c r="P2" s="5" t="inlineStr">
        <is>
          <t>Hoàn thành xuất sắc phân hệ M1 bảo mật cao; tích hợp Google/Facebook SSO, email OTP, Screen #9 GDPR xóa dữ liệu; bộ test 77 bài pass 100%; tài liệu bàn giao M1_HANDOFF rất chi tiết.</t>
        </is>
      </c>
    </row>
    <row r="3" ht="20" customHeight="1">
      <c r="A3" s="6" t="inlineStr">
        <is>
          <t>MEM-02</t>
        </is>
      </c>
      <c r="B3" s="6" t="inlineStr">
        <is>
          <t>Nguyễn Gia Đạt</t>
        </is>
      </c>
      <c r="C3" s="6" t="inlineStr">
        <is>
          <t>Datnghe181035</t>
        </is>
      </c>
      <c r="D3" s="6" t="inlineStr">
        <is>
          <t>HE181035</t>
        </is>
      </c>
      <c r="E3" s="6" t="inlineStr">
        <is>
          <t>Module 2 Lead / Developer</t>
        </is>
      </c>
      <c r="F3" s="6" t="inlineStr">
        <is>
          <t>M2 - Booking &amp; Reservation</t>
        </is>
      </c>
      <c r="G3" s="13" t="n">
        <v>8</v>
      </c>
      <c r="H3" s="13" t="n">
        <v>34</v>
      </c>
      <c r="I3" s="25">
        <f>(Scoring_Rubric!F2*0.1 + Scoring_Rubric!F9*0.05 + Scoring_Rubric!F12*0.05)/0.2</f>
        <v/>
      </c>
      <c r="J3" s="25">
        <f>(Scoring_Rubric!F3*0.15 + Scoring_Rubric!F4*0.15 + Scoring_Rubric!F10*0.05)/0.35</f>
        <v/>
      </c>
      <c r="K3" s="25">
        <f>(Scoring_Rubric!F5*0.10 + Scoring_Rubric!F6*0.15)/0.25</f>
        <v/>
      </c>
      <c r="L3" s="25">
        <f>(Scoring_Rubric!F7*0.05 + Scoring_Rubric!F8*0.10 + Scoring_Rubric!F11*0.05)/0.2</f>
        <v/>
      </c>
      <c r="M3" s="25">
        <f>SUMPRODUCT(Scoring_Rubric!$C$2:$C$12, Scoring_Rubric!F2:Scoring_Rubric!F12)</f>
        <v/>
      </c>
      <c r="N3" s="26">
        <f>IF(M3&gt;=9.0,"Xuất sắc",IF(M3&gt;=8.0,"Giỏi","Khá"))</f>
        <v/>
      </c>
      <c r="O3" s="8" t="inlineStr">
        <is>
          <t>HIGH</t>
        </is>
      </c>
      <c r="P3" s="6" t="inlineStr">
        <is>
          <t>Đóng góp khối lượng mã nguồn đồ sộ trong commit 4bd4ecd (3,417 dòng, 33 files); xây dựng toàn bộ nghiệp vụ lễ tân, tính giá cọc, tích hợp cổng VNPay và adapter danh tính khách; chủ động sửa lỗi lưu thông tin khách.</t>
        </is>
      </c>
    </row>
    <row r="4" ht="20" customHeight="1">
      <c r="A4" s="5" t="inlineStr">
        <is>
          <t>MEM-03</t>
        </is>
      </c>
      <c r="B4" s="5" t="inlineStr">
        <is>
          <t>Nguyễn Tất Đạt</t>
        </is>
      </c>
      <c r="C4" s="5" t="inlineStr">
        <is>
          <t>DZB1509 / datnthe181883</t>
        </is>
      </c>
      <c r="D4" s="5" t="inlineStr">
        <is>
          <t>HE181883</t>
        </is>
      </c>
      <c r="E4" s="5" t="inlineStr">
        <is>
          <t>Project Technical Lead / Integrator</t>
        </is>
      </c>
      <c r="F4" s="5" t="inlineStr">
        <is>
          <t>M3 - Spa &amp; Shared Infrastructure</t>
        </is>
      </c>
      <c r="G4" s="12" t="n">
        <v>102</v>
      </c>
      <c r="H4" s="12" t="n">
        <v>24</v>
      </c>
      <c r="I4" s="23">
        <f>(Scoring_Rubric!G2*0.1 + Scoring_Rubric!G9*0.05 + Scoring_Rubric!G12*0.05)/0.2</f>
        <v/>
      </c>
      <c r="J4" s="23">
        <f>(Scoring_Rubric!G3*0.15 + Scoring_Rubric!G4*0.15 + Scoring_Rubric!G10*0.05)/0.35</f>
        <v/>
      </c>
      <c r="K4" s="23">
        <f>(Scoring_Rubric!G5*0.10 + Scoring_Rubric!G6*0.15)/0.25</f>
        <v/>
      </c>
      <c r="L4" s="23">
        <f>(Scoring_Rubric!G7*0.05 + Scoring_Rubric!G8*0.10 + Scoring_Rubric!G11*0.05)/0.2</f>
        <v/>
      </c>
      <c r="M4" s="23">
        <f>SUMPRODUCT(Scoring_Rubric!$C$2:$C$12, Scoring_Rubric!G2:Scoring_Rubric!G12)</f>
        <v/>
      </c>
      <c r="N4" s="24">
        <f>IF(M4&gt;=9.0,"Xuất sắc",IF(M4&gt;=8.0,"Giỏi","Khá"))</f>
        <v/>
      </c>
      <c r="O4" s="8" t="inlineStr">
        <is>
          <t>HIGH</t>
        </is>
      </c>
      <c r="P4" s="5" t="inlineStr">
        <is>
          <t>Đóng vai trò trụ cột kỹ thuật của toàn bộ dự án: phát triển phân hệ M3 Spa; thiết lập kiến trúc Spring Security kép, design tokens và layout chung; độc lập xử lý thành công 44 merge conflicts từ nhánh XH, chẩn đoán và khắc phục 2 lỗi test hồi quy phức tạp, duy trì 0 đột biến CSDL.</t>
        </is>
      </c>
    </row>
    <row r="5" ht="20" customHeight="1">
      <c r="A5" s="6" t="inlineStr">
        <is>
          <t>MEM-04</t>
        </is>
      </c>
      <c r="B5" s="6" t="inlineStr">
        <is>
          <t>Vũ Phương Thảo</t>
        </is>
      </c>
      <c r="C5" s="6" t="inlineStr">
        <is>
          <t>Thao Vu</t>
        </is>
      </c>
      <c r="D5" s="6" t="inlineStr">
        <is>
          <t>HE204054</t>
        </is>
      </c>
      <c r="E5" s="6" t="inlineStr">
        <is>
          <t>Module 4 Lead / Developer</t>
        </is>
      </c>
      <c r="F5" s="6" t="inlineStr">
        <is>
          <t>M4 - Food &amp; Beverage</t>
        </is>
      </c>
      <c r="G5" s="13" t="n">
        <v>57</v>
      </c>
      <c r="H5" s="13" t="n">
        <v>42</v>
      </c>
      <c r="I5" s="25">
        <f>(Scoring_Rubric!H2*0.1 + Scoring_Rubric!H9*0.05 + Scoring_Rubric!H12*0.05)/0.2</f>
        <v/>
      </c>
      <c r="J5" s="25">
        <f>(Scoring_Rubric!H3*0.15 + Scoring_Rubric!H4*0.15 + Scoring_Rubric!H10*0.05)/0.35</f>
        <v/>
      </c>
      <c r="K5" s="25">
        <f>(Scoring_Rubric!H5*0.10 + Scoring_Rubric!H6*0.15)/0.25</f>
        <v/>
      </c>
      <c r="L5" s="25">
        <f>(Scoring_Rubric!H7*0.05 + Scoring_Rubric!H8*0.10 + Scoring_Rubric!H11*0.05)/0.2</f>
        <v/>
      </c>
      <c r="M5" s="25">
        <f>SUMPRODUCT(Scoring_Rubric!$C$2:$C$12, Scoring_Rubric!H2:Scoring_Rubric!H12)</f>
        <v/>
      </c>
      <c r="N5" s="26">
        <f>IF(M5&gt;=9.0,"Xuất sắc",IF(M5&gt;=8.0,"Giỏi","Khá"))</f>
        <v/>
      </c>
      <c r="O5" s="8" t="inlineStr">
        <is>
          <t>HIGH</t>
        </is>
      </c>
      <c r="P5" s="6" t="inlineStr">
        <is>
          <t>Tinh thần làm việc bền bỉ và chuyên cần mẫu mực với 57 commits phân bổ đều đặn; hoàn thiện xuất sắc nghiệp vụ F&amp;B trị liệu, bộ lọc dị ứng, quy trình điều phối bếp KDS thời gian thực, quản lý trừ kho nguyên liệu và bộ xử lý lỗi font UTF-8.</t>
        </is>
      </c>
    </row>
    <row r="6" ht="20" customHeight="1">
      <c r="A6" s="5" t="inlineStr">
        <is>
          <t>MEM-05</t>
        </is>
      </c>
      <c r="B6" s="5" t="inlineStr">
        <is>
          <t>Tăng Xuân Hòa</t>
        </is>
      </c>
      <c r="C6" s="5" t="inlineStr">
        <is>
          <t>Trần Xuân Hòa / hoatxhe180798</t>
        </is>
      </c>
      <c r="D6" s="5" t="inlineStr">
        <is>
          <t>HE180798</t>
        </is>
      </c>
      <c r="E6" s="5" t="inlineStr">
        <is>
          <t>Module 5 Lead / Developer</t>
        </is>
      </c>
      <c r="F6" s="5" t="inlineStr">
        <is>
          <t>M5 - Billing &amp; Checkout</t>
        </is>
      </c>
      <c r="G6" s="12" t="n">
        <v>8</v>
      </c>
      <c r="H6" s="12" t="n">
        <v>48</v>
      </c>
      <c r="I6" s="23">
        <f>(Scoring_Rubric!I2*0.1 + Scoring_Rubric!I9*0.05 + Scoring_Rubric!I12*0.05)/0.2</f>
        <v/>
      </c>
      <c r="J6" s="23">
        <f>(Scoring_Rubric!I3*0.15 + Scoring_Rubric!I4*0.15 + Scoring_Rubric!I10*0.05)/0.35</f>
        <v/>
      </c>
      <c r="K6" s="23">
        <f>(Scoring_Rubric!I5*0.10 + Scoring_Rubric!I6*0.15)/0.25</f>
        <v/>
      </c>
      <c r="L6" s="23">
        <f>(Scoring_Rubric!I7*0.05 + Scoring_Rubric!I8*0.10 + Scoring_Rubric!I11*0.05)/0.2</f>
        <v/>
      </c>
      <c r="M6" s="23">
        <f>SUMPRODUCT(Scoring_Rubric!$C$2:$C$12, Scoring_Rubric!I2:Scoring_Rubric!I12)</f>
        <v/>
      </c>
      <c r="N6" s="24">
        <f>IF(M6&gt;=9.0,"Xuất sắc",IF(M6&gt;=8.0,"Giỏi","Khá"))</f>
        <v/>
      </c>
      <c r="O6" s="8" t="inlineStr">
        <is>
          <t>HIGH</t>
        </is>
      </c>
      <c r="P6" s="5" t="inlineStr">
        <is>
          <t>Đóng góp khối lượng nghiệp vụ tài chính khổng lồ trong commit ebaddc7 (7,608 dòng, 68 files); xây dựng logic tổng hợp Folio, thanh toán đa kênh, xuất hóa đơn VAT dạng PDF và báo cáo quản lý; bộ test M5 cực kỳ đồ sộ với 48 test pass 100%.</t>
        </is>
      </c>
    </row>
    <row r="7" ht="20" customHeight="1">
      <c r="A7" s="6" t="inlineStr">
        <is>
          <t>MEM-06</t>
        </is>
      </c>
      <c r="B7" s="6" t="inlineStr">
        <is>
          <t>Phạm Thành Vinh</t>
        </is>
      </c>
      <c r="C7" s="6" t="inlineStr">
        <is>
          <t>Phan Thành Vinh / pthanhvinh26112004</t>
        </is>
      </c>
      <c r="D7" s="6" t="inlineStr">
        <is>
          <t>HE186593</t>
        </is>
      </c>
      <c r="E7" s="6" t="inlineStr">
        <is>
          <t>Module 6 Lead / Developer</t>
        </is>
      </c>
      <c r="F7" s="6" t="inlineStr">
        <is>
          <t>M6 - Admin &amp; Governance</t>
        </is>
      </c>
      <c r="G7" s="13" t="n">
        <v>22</v>
      </c>
      <c r="H7" s="13" t="n">
        <v>49</v>
      </c>
      <c r="I7" s="25">
        <f>(Scoring_Rubric!J2*0.1 + Scoring_Rubric!J9*0.05 + Scoring_Rubric!J12*0.05)/0.2</f>
        <v/>
      </c>
      <c r="J7" s="25">
        <f>(Scoring_Rubric!J3*0.15 + Scoring_Rubric!J4*0.15 + Scoring_Rubric!J10*0.05)/0.35</f>
        <v/>
      </c>
      <c r="K7" s="25">
        <f>(Scoring_Rubric!J5*0.10 + Scoring_Rubric!J6*0.15)/0.25</f>
        <v/>
      </c>
      <c r="L7" s="25">
        <f>(Scoring_Rubric!J7*0.05 + Scoring_Rubric!J8*0.10 + Scoring_Rubric!J11*0.05)/0.2</f>
        <v/>
      </c>
      <c r="M7" s="25">
        <f>SUMPRODUCT(Scoring_Rubric!$C$2:$C$12, Scoring_Rubric!J2:Scoring_Rubric!J12)</f>
        <v/>
      </c>
      <c r="N7" s="26">
        <f>IF(M7&gt;=9.0,"Xuất sắc",IF(M7&gt;=8.0,"Giỏi","Khá"))</f>
        <v/>
      </c>
      <c r="O7" s="8" t="inlineStr">
        <is>
          <t>HIGH</t>
        </is>
      </c>
      <c r="P7" s="6" t="inlineStr">
        <is>
          <t>Đóng góp rất lớn vào giao diện quản lý thực tế với 2 trang quản lý villa (2,765 dòng) và spa (1,843 dòng), 11 modal nghiệp vụ cấu hình phòng/giá; xây dựng tính năng phân quyền chi tiết RBAC, ủy quyền tạm thời, audit log và trích xuất báo cáo công an lưu trú.</t>
        </is>
      </c>
    </row>
    <row r="8">
      <c r="A8" s="19" t="inlineStr">
        <is>
          <t>TRUNG BÌNH NHÓM</t>
        </is>
      </c>
      <c r="B8" s="19" t="inlineStr">
        <is>
          <t>Trung bình 6 sinh viên</t>
        </is>
      </c>
      <c r="C8" s="21" t="n"/>
      <c r="D8" s="21" t="n"/>
      <c r="E8" s="21" t="n"/>
      <c r="F8" s="21" t="n"/>
      <c r="G8" s="27">
        <f>AVERAGE(G2:G7)</f>
        <v/>
      </c>
      <c r="H8" s="27">
        <f>AVERAGE(H2:H7)</f>
        <v/>
      </c>
      <c r="I8" s="22">
        <f>AVERAGE(I2:I7)</f>
        <v/>
      </c>
      <c r="J8" s="22">
        <f>AVERAGE(J2:J7)</f>
        <v/>
      </c>
      <c r="K8" s="22">
        <f>AVERAGE(K2:K7)</f>
        <v/>
      </c>
      <c r="L8" s="22">
        <f>AVERAGE(L2:L7)</f>
        <v/>
      </c>
      <c r="M8" s="22">
        <f>AVERAGE(M2:M7)</f>
        <v/>
      </c>
      <c r="N8" s="21" t="n"/>
      <c r="O8" s="21" t="n"/>
      <c r="P8" s="21" t="n"/>
    </row>
    <row r="10">
      <c r="A10" s="28" t="inlineStr">
        <is>
          <t>GIẢNG VIÊN HƯỚNG DẪN (TÁCH RIÊNG KHÔNG CHẤM ĐIỂM SINH VIÊN)</t>
        </is>
      </c>
    </row>
    <row r="11">
      <c r="A11" s="29" t="inlineStr">
        <is>
          <t>MEM-07</t>
        </is>
      </c>
      <c r="B11" s="29" t="inlineStr">
        <is>
          <t>Nguyễn Cường Mạnh</t>
        </is>
      </c>
      <c r="C11" s="29" t="inlineStr">
        <is>
          <t>Nguyen Cuong Manh</t>
        </is>
      </c>
      <c r="D11" s="29" t="inlineStr">
        <is>
          <t>GIẢNG VIÊN</t>
        </is>
      </c>
      <c r="E11" s="29" t="inlineStr">
        <is>
          <t>Course Instructor / Project Supervisor</t>
        </is>
      </c>
      <c r="F11" s="29" t="inlineStr">
        <is>
          <t>Course Governance &amp; Supervision</t>
        </is>
      </c>
      <c r="G11" s="29" t="n">
        <v>1</v>
      </c>
      <c r="H11" s="29" t="n">
        <v>0</v>
      </c>
      <c r="I11" s="29" t="inlineStr">
        <is>
          <t>N/A</t>
        </is>
      </c>
      <c r="J11" s="29" t="inlineStr">
        <is>
          <t>N/A</t>
        </is>
      </c>
      <c r="K11" s="29" t="inlineStr">
        <is>
          <t>N/A</t>
        </is>
      </c>
      <c r="L11" s="29" t="inlineStr">
        <is>
          <t>N/A</t>
        </is>
      </c>
      <c r="M11" s="29" t="inlineStr">
        <is>
          <t>N/A</t>
        </is>
      </c>
      <c r="N11" s="29" t="inlineStr">
        <is>
          <t>Giảng viên</t>
        </is>
      </c>
      <c r="O11" s="29" t="inlineStr">
        <is>
          <t>HIGH</t>
        </is>
      </c>
      <c r="P11" s="29" t="inlineStr">
        <is>
          <t>Giảng viên hướng dẫn môn học, chủ sở hữu namespace GitLab manhnc2. Tách biệt hoàn toàn khỏi thang điểm đóng góp và xếp loại học tập của 6 sinh viên.</t>
        </is>
      </c>
    </row>
  </sheetData>
  <autoFilter ref="A1:P7"/>
  <mergeCells count="1">
    <mergeCell ref="A10:P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showGridLines="1" workbookViewId="0">
      <pane ySplit="1" topLeftCell="A2" activePane="bottomLeft" state="frozen"/>
      <selection pane="bottomLeft" activeCell="A1" sqref="A1"/>
    </sheetView>
  </sheetViews>
  <sheetFormatPr baseColWidth="8" defaultRowHeight="15"/>
  <cols>
    <col width="14" customWidth="1" min="1" max="1"/>
    <col width="48" customWidth="1" min="2" max="2"/>
    <col width="52" customWidth="1" min="3" max="3"/>
    <col width="52" customWidth="1" min="4" max="4"/>
    <col width="52" customWidth="1" min="5" max="5"/>
    <col width="52" customWidth="1" min="6" max="6"/>
    <col width="24" customWidth="1" min="7" max="7"/>
  </cols>
  <sheetData>
    <row r="1" ht="28" customHeight="1">
      <c r="A1" s="4" t="inlineStr">
        <is>
          <t>Mã bất đồng</t>
        </is>
      </c>
      <c r="B1" s="4" t="inlineStr">
        <is>
          <t>Hạng mục đối soát</t>
        </is>
      </c>
      <c r="C1" s="4" t="inlineStr">
        <is>
          <t>Giá trị ghi nhận cũ</t>
        </is>
      </c>
      <c r="D1" s="4" t="inlineStr">
        <is>
          <t>Giá trị chuẩn hóa mới</t>
        </is>
      </c>
      <c r="E1" s="4" t="inlineStr">
        <is>
          <t>Căn cứ bằng chứng</t>
        </is>
      </c>
      <c r="F1" s="4" t="inlineStr">
        <is>
          <t>Tác động đánh giá &amp; Giải pháp</t>
        </is>
      </c>
      <c r="G1" s="4" t="inlineStr">
        <is>
          <t>Trạng thái giải quyết</t>
        </is>
      </c>
    </row>
    <row r="2" ht="20" customHeight="1">
      <c r="A2" s="5" t="inlineStr">
        <is>
          <t>CONF-01</t>
        </is>
      </c>
      <c r="B2" s="5" t="inlineStr">
        <is>
          <t>Họ của MEM-05 (HE180798)</t>
        </is>
      </c>
      <c r="C2" s="5" t="inlineStr">
        <is>
          <t>Trần Xuân Hòa (trong ghi chú audit &amp; commit email)</t>
        </is>
      </c>
      <c r="D2" s="5" t="inlineStr">
        <is>
          <t>Tăng Xuân Hòa (Bí danh: Trần Xuân Hòa)</t>
        </is>
      </c>
      <c r="E2" s="5" t="inlineStr">
        <is>
          <t>Task_Project_G1_IS2005.xlsx sheet 'Đánh giá thành viên' dòng 4</t>
        </is>
      </c>
      <c r="F2" s="5" t="inlineStr">
        <is>
          <t>Chọn họ Tăng làm chuẩn theo danh sách phân công chính thức; duy trì Trần làm alias để tra cứu lịch sử.</t>
        </is>
      </c>
      <c r="G2" s="5" t="inlineStr">
        <is>
          <t>RESOLVED</t>
        </is>
      </c>
    </row>
    <row r="3" ht="20" customHeight="1">
      <c r="A3" s="6" t="inlineStr">
        <is>
          <t>CONF-02</t>
        </is>
      </c>
      <c r="B3" s="6" t="inlineStr">
        <is>
          <t>Họ của MEM-06 (HE186593)</t>
        </is>
      </c>
      <c r="C3" s="6" t="inlineStr">
        <is>
          <t>Phan Thành Vinh (trong ghi chú audit &amp; commit email)</t>
        </is>
      </c>
      <c r="D3" s="6" t="inlineStr">
        <is>
          <t>Phạm Thành Vinh (Bí danh: Phan Thành Vinh)</t>
        </is>
      </c>
      <c r="E3" s="6" t="inlineStr">
        <is>
          <t>Task_Project_G1_IS2005.xlsx sheet 'Đánh giá thành viên' dòng 7</t>
        </is>
      </c>
      <c r="F3" s="6" t="inlineStr">
        <is>
          <t>Chọn họ Phạm làm chuẩn theo danh sách phân công chính thức; duy trì Phan làm alias để tra cứu lịch sử.</t>
        </is>
      </c>
      <c r="G3" s="6" t="inlineStr">
        <is>
          <t>RESOLVED</t>
        </is>
      </c>
    </row>
    <row r="4" ht="20" customHeight="1">
      <c r="A4" s="5" t="inlineStr">
        <is>
          <t>CONF-03</t>
        </is>
      </c>
      <c r="B4" s="5" t="inlineStr">
        <is>
          <t>Mã số sinh viên (MSSV) của 3 thành viên</t>
        </is>
      </c>
      <c r="C4" s="5" t="inlineStr">
        <is>
          <t>UNKNOWN cho Lê Đức Hoàng, Vũ Phương Thảo, Phan Thành Vinh</t>
        </is>
      </c>
      <c r="D4" s="5" t="inlineStr">
        <is>
          <t>Khôi phục đầy đủ: HE204568 (Hoàng), HE204054 (Thảo), HE186593 (Vinh)</t>
        </is>
      </c>
      <c r="E4" s="5" t="inlineStr">
        <is>
          <t>Task_Project_G1_IS2005.xlsx sheet 'Đánh giá thành viên'</t>
        </is>
      </c>
      <c r="F4" s="5" t="inlineStr">
        <is>
          <t>Đầy đủ 100% MSSV cho toàn bộ 6 thành viên; loại bỏ trạng thái UNKNOWN.</t>
        </is>
      </c>
      <c r="G4" s="5" t="inlineStr">
        <is>
          <t>RESOLVED</t>
        </is>
      </c>
    </row>
    <row r="5" ht="20" customHeight="1">
      <c r="A5" s="6" t="inlineStr">
        <is>
          <t>CONF-04</t>
        </is>
      </c>
      <c r="B5" s="6" t="inlineStr">
        <is>
          <t>Quy mô 27 chức năng vs 49 dòng kiểm kê</t>
        </is>
      </c>
      <c r="C5" s="6" t="inlineStr">
        <is>
          <t>Báo cáo ghi 27 chức năng; tệp kiểm kê có 49 dòng</t>
        </is>
      </c>
      <c r="D5" s="6" t="inlineStr">
        <is>
          <t>Phân định rõ 2 tầng phạm vi: 27 Use Case nghiệp vụ vs 49 cấu phần kỹ thuật</t>
        </is>
      </c>
      <c r="E5" s="6" t="inlineStr">
        <is>
          <t>SRS (27 use case nghiệp vụ) vs 04_Module_Completeness.csv (43 module + 6 infra)</t>
        </is>
      </c>
      <c r="F5" s="6" t="inlineStr">
        <is>
          <t>Không có mâu thuẫn số học; 27 là phạm vi bài toán người dùng, 49 là phạm vi code deliverables.</t>
        </is>
      </c>
      <c r="G5" s="6" t="inlineStr">
        <is>
          <t>RESOLVED</t>
        </is>
      </c>
    </row>
    <row r="6" ht="20" customHeight="1">
      <c r="A6" s="5" t="inlineStr">
        <is>
          <t>CONF-05</t>
        </is>
      </c>
      <c r="B6" s="5" t="inlineStr">
        <is>
          <t>6 Sinh viên vs 8 Nhánh tính năng</t>
        </is>
      </c>
      <c r="C6" s="5" t="inlineStr">
        <is>
          <t>Tài liệu cũ đôi khi nhắc đến 7 nhánh</t>
        </is>
      </c>
      <c r="D6" s="5" t="inlineStr">
        <is>
          <t>Làm rõ chính xác: 6 sinh viên tạo ra 8 nhánh tính năng</t>
        </is>
      </c>
      <c r="E6" s="5" t="inlineStr">
        <is>
          <t>Lịch sử Git: DucHoangM1, dat-nguyen-gia, NTDatZB, thao-product, XH, XH4, vinhpt, vinhpt1</t>
        </is>
      </c>
      <c r="F6" s="5" t="inlineStr">
        <is>
          <t>Hòa có 2 nhánh (XH, XH4); Vinh có 2 nhánh (vinhpt, vinhpt1). Tích hợp đầy đủ vào branch chung.</t>
        </is>
      </c>
      <c r="G6" s="5" t="inlineStr">
        <is>
          <t>RESOLVED</t>
        </is>
      </c>
    </row>
    <row r="7" ht="20" customHeight="1">
      <c r="A7" s="6" t="inlineStr">
        <is>
          <t>CONF-06</t>
        </is>
      </c>
      <c r="B7" s="6" t="inlineStr">
        <is>
          <t>Môi trường kiểm thử 536 tests backend</t>
        </is>
      </c>
      <c r="C7" s="6" t="inlineStr">
        <is>
          <t>Tuyên bố VERIFIED chung chung không nêu rõ môi trường</t>
        </is>
      </c>
      <c r="D7" s="6" t="inlineStr">
        <is>
          <t>Bổ sung đầy đủ ngữ cảnh: 526 pass trên H2 in-memory MSSQLServer mode; 10 bài SQL Server thật bỏ qua</t>
        </is>
      </c>
      <c r="E7" s="6" t="inlineStr">
        <is>
          <t>PHASE_5.8.3.117-5.8.3.118_FULL_TEAM_MERGE_HISTORY.txt; pom.xml; application-test.yml</t>
        </is>
      </c>
      <c r="F7" s="6" t="inlineStr">
        <is>
          <t>Minh bạch hóa giới hạn kiểm thử: pass 100% logic trên mock/H2, chưa chạy trên SQL Server cluster production.</t>
        </is>
      </c>
      <c r="G7" s="6" t="inlineStr">
        <is>
          <t>RESOLVED</t>
        </is>
      </c>
    </row>
    <row r="8" ht="20" customHeight="1">
      <c r="A8" s="5" t="inlineStr">
        <is>
          <t>CONF-07</t>
        </is>
      </c>
      <c r="B8" s="5" t="inlineStr">
        <is>
          <t>Độ tin cậy của tích hợp cổng thanh toán &amp; SSO</t>
        </is>
      </c>
      <c r="C8" s="5" t="inlineStr">
        <is>
          <t>Được gán nhãn HIGH và VERIFIED đồng loạt</t>
        </is>
      </c>
      <c r="D8" s="5" t="inlineStr">
        <is>
          <t>Hạ nhãn xuống PARTIALLY_VERIFIED và MEDIUM cho các luồng mạng ngoài</t>
        </is>
      </c>
      <c r="E8" s="5" t="inlineStr">
        <is>
          <t>07_Gap_Register.csv (GAP-01, GAP-02, GAP-08)</t>
        </is>
      </c>
      <c r="F8" s="5" t="inlineStr">
        <is>
          <t>Các hàm mã hóa, tính checksum, mock slice đều pass, nhưng live callback chưa thể kích hoạt trong môi trường audit offline.</t>
        </is>
      </c>
      <c r="G8" s="5" t="inlineStr">
        <is>
          <t>RESOLVED</t>
        </is>
      </c>
    </row>
    <row r="9" ht="20" customHeight="1">
      <c r="A9" s="6" t="inlineStr">
        <is>
          <t>CONF-08</t>
        </is>
      </c>
      <c r="B9" s="6" t="inlineStr">
        <is>
          <t>Công thức tính điểm tổng kết thành viên</t>
        </is>
      </c>
      <c r="C9" s="6" t="inlineStr">
        <is>
          <t>Tính điểm trung gian qua 4 nhóm tiêu chí làm tròn</t>
        </is>
      </c>
      <c r="D9" s="6" t="inlineStr">
        <is>
          <t>Tính trực tiếp bằng SUMPRODUCT từ 11 tiêu chí và trọng số chuẩn</t>
        </is>
      </c>
      <c r="E9" s="6" t="inlineStr">
        <is>
          <t>Scoring_Rubric TC-01 đến TC-11; trọng số chuẩn hóa tổng 100.0%</t>
        </is>
      </c>
      <c r="F9" s="6" t="inlineStr">
        <is>
          <t>Đồng bộ điểm số 100% trên toàn bộ workbook và các báo cáo (Hoàng: 9.17, G.Đạt: 8.86, T.Đạt: 9.84, Thảo: 9.24, Hòa: 9.09, Vinh: 8.94).</t>
        </is>
      </c>
      <c r="G9" s="6" t="inlineStr">
        <is>
          <t>RESOLVED</t>
        </is>
      </c>
    </row>
    <row r="10" ht="20" customHeight="1">
      <c r="A10" s="5" t="inlineStr">
        <is>
          <t>CONF-09</t>
        </is>
      </c>
      <c r="B10" s="5" t="inlineStr">
        <is>
          <t>Số lượng dòng tác vụ WBS (180 vs 181)</t>
        </is>
      </c>
      <c r="C10" s="5" t="inlineStr">
        <is>
          <t>Bảng đối soát có 181 dòng trong khi kế hoạch có 180 tác vụ WBS</t>
        </is>
      </c>
      <c r="D10" s="5" t="inlineStr">
        <is>
          <t>Xác định chính xác dòng 185 là dòng ghi chú (NOTE) thời hạn thi cử, không phải tác vụ WBS</t>
        </is>
      </c>
      <c r="E10" s="5" t="inlineStr">
        <is>
          <t>Task_Project_G1_IS2005.xlsx dòng 185: NOTE "Thực tế 11/11 là buổi học cuối..."</t>
        </is>
      </c>
      <c r="F10" s="5" t="inlineStr">
        <is>
          <t>Giữ nguyên 181 dòng đối soát; định danh rõ dòng 185 là PLANNING_FOOTNOTE / NOT_ASSESSABLE.</t>
        </is>
      </c>
      <c r="G10" s="5" t="inlineStr">
        <is>
          <t>RESOLVED</t>
        </is>
      </c>
    </row>
    <row r="11" ht="20" customHeight="1">
      <c r="A11" s="6" t="inlineStr">
        <is>
          <t>CONF-10</t>
        </is>
      </c>
      <c r="B11" s="6" t="inlineStr">
        <is>
          <t>Phân rã kiểm thử chi tiết (516 vs 526 pass)</t>
        </is>
      </c>
      <c r="C11" s="6" t="inlineStr">
        <is>
          <t>Tổng chi tiết M1-M6 + Shared = 516 pass; tổng báo cáo Phase 118 = 526 pass</t>
        </is>
      </c>
      <c r="D11" s="6" t="inlineStr">
        <is>
          <t>Ghi nhận độ lệch 10 bài pass là UNRESOLVED_BREAKDOWN_VARIANCE</t>
        </is>
      </c>
      <c r="E11" s="6" t="inlineStr">
        <is>
          <t>PHASE_5.8.3.117-5.8.3.118_FULL_TEAM_MERGE_HISTORY.txt (Mục 8.2 chỉ nêu sample suites)</t>
        </is>
      </c>
      <c r="F11" s="6" t="inlineStr">
        <is>
          <t>Không tự tạo số liệu kiểm thử; minh bạch hóa khoảng chênh lệch kỹ thuật.</t>
        </is>
      </c>
      <c r="G11" s="6" t="inlineStr">
        <is>
          <t>RESOLVED</t>
        </is>
      </c>
    </row>
  </sheetData>
  <autoFilter ref="A1:G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
  <sheetViews>
    <sheetView showGridLines="1" workbookViewId="0">
      <pane ySplit="1" topLeftCell="A2" activePane="bottomLeft" state="frozen"/>
      <selection pane="bottomLeft" activeCell="A1" sqref="A1"/>
    </sheetView>
  </sheetViews>
  <sheetFormatPr baseColWidth="8" defaultRowHeight="15"/>
  <cols>
    <col width="45" customWidth="1" min="1" max="1"/>
    <col width="52" customWidth="1" min="2" max="2"/>
    <col width="52" customWidth="1" min="3" max="3"/>
    <col width="52" customWidth="1" min="4" max="4"/>
    <col width="52" customWidth="1" min="5" max="5"/>
  </cols>
  <sheetData>
    <row r="1" ht="28" customHeight="1">
      <c r="A1" s="4" t="inlineStr">
        <is>
          <t>Phương pháp xác minh</t>
        </is>
      </c>
      <c r="B1" s="4" t="inlineStr">
        <is>
          <t>Nguồn dữ liệu &amp; Công cụ</t>
        </is>
      </c>
      <c r="C1" s="4" t="inlineStr">
        <is>
          <t>Nội dung kiểm tra thực tế</t>
        </is>
      </c>
      <c r="D1" s="4" t="inlineStr">
        <is>
          <t>Tiêu chuẩn đạt (Pass Criteria)</t>
        </is>
      </c>
      <c r="E1" s="4" t="inlineStr">
        <is>
          <t>Giới hạn &amp; Lưu ý an toàn</t>
        </is>
      </c>
    </row>
    <row r="2" ht="20" customHeight="1">
      <c r="A2" s="5" t="inlineStr">
        <is>
          <t>Pháp y lịch sử Git (Git Forensics)</t>
        </is>
      </c>
      <c r="B2" s="5" t="inlineStr">
        <is>
          <t>Git read-only log, diff, commit tree</t>
        </is>
      </c>
      <c r="C2" s="5" t="inlineStr">
        <is>
          <t>Đối soát commit hash, author name, email, ngày tạo, nhánh nguồn và commit merge tích hợp</t>
        </is>
      </c>
      <c r="D2" s="5" t="inlineStr">
        <is>
          <t>Commit tồn tại trên nhánh, diff khớp tính năng được giao, có chữ ký merge</t>
        </is>
      </c>
      <c r="E2" s="5" t="inlineStr">
        <is>
          <t>Không chạy rebase, reset hay force push; giữ nguyên trạng thái repository</t>
        </is>
      </c>
    </row>
    <row r="3" ht="20" customHeight="1">
      <c r="A3" s="6" t="inlineStr">
        <is>
          <t>Kiểm tra mã nguồn tĩnh (Static Inspection)</t>
        </is>
      </c>
      <c r="B3" s="6" t="inlineStr">
        <is>
          <t>Mã nguồn Backend (Java 17) &amp; Frontend (React/TS)</t>
        </is>
      </c>
      <c r="C3" s="6" t="inlineStr">
        <is>
          <t>Đọc cấu trúc Controller, Service, Repository, Entity, DTO, Components, Contexts</t>
        </is>
      </c>
      <c r="D3" s="6" t="inlineStr">
        <is>
          <t>Mã nguồn có mặt thực tế trong cây thư mục, tuân thủ Clean Architecture, không có syntax error</t>
        </is>
      </c>
      <c r="E3" s="6" t="inlineStr">
        <is>
          <t>Không sửa đổi code của nhóm trong quá trình kiểm toán</t>
        </is>
      </c>
    </row>
    <row r="4" ht="20" customHeight="1">
      <c r="A4" s="5" t="inlineStr">
        <is>
          <t>Đối soát kế hoạch (WBS Alignment)</t>
        </is>
      </c>
      <c r="B4" s="5" t="inlineStr">
        <is>
          <t>Task_Project_G1_IS2005.xlsx (Official Plan)</t>
        </is>
      </c>
      <c r="C4" s="5" t="inlineStr">
        <is>
          <t>Đối soát 180 tác vụ kế hoạch + 1 dòng footnote với PIC, độ phức tạp và bằng chứng code</t>
        </is>
      </c>
      <c r="D4" s="5" t="inlineStr">
        <is>
          <t>Tác vụ có mã nguồn tương ứng trong repository hoặc tài liệu thiết kế</t>
        </is>
      </c>
      <c r="E4" s="5" t="inlineStr">
        <is>
          <t>Không suy diễn tác vụ đã xong chỉ vì có tên trong kế hoạch</t>
        </is>
      </c>
    </row>
    <row r="5" ht="20" customHeight="1">
      <c r="A5" s="6" t="inlineStr">
        <is>
          <t>Xác minh kiểm thử (Test Verification)</t>
        </is>
      </c>
      <c r="B5" s="6" t="inlineStr">
        <is>
          <t>Báo cáo Surefire, log Phase 118, Oxlint</t>
        </is>
      </c>
      <c r="C5" s="6" t="inlineStr">
        <is>
          <t>Kiểm tra số lượng test pass, fail, skip của từng module và hạ tầng chung</t>
        </is>
      </c>
      <c r="D5" s="6" t="inlineStr">
        <is>
          <t>Không có bài test nào bị fail; các bài test skip có lý do kỹ thuật chính đáng (guard live DB)</t>
        </is>
      </c>
      <c r="E5" s="6" t="inlineStr">
        <is>
          <t>Không chạy lại toàn bộ test suite nếu có nguy cơ chạm CSDL thật</t>
        </is>
      </c>
    </row>
    <row r="6" ht="20" customHeight="1">
      <c r="A6" s="5" t="inlineStr">
        <is>
          <t>Bảo vệ CSDL (Database Safety Guard)</t>
        </is>
      </c>
      <c r="B6" s="5" t="inlineStr">
        <is>
          <t>schema.sql, Flyway migrations, connection configs</t>
        </is>
      </c>
      <c r="C6" s="5" t="inlineStr">
        <is>
          <t>Kiểm tra trạng thái kết nối tới HSWRMS và HSWRMS_TEST</t>
        </is>
      </c>
      <c r="D6" s="5" t="inlineStr">
        <is>
          <t>Tuyệt đối không có lệnh DDL/DML, migration hay seed dữ liệu được thực thi trong turn audit</t>
        </is>
      </c>
      <c r="E6" s="5" t="inlineStr">
        <is>
          <t>Bảo toàn 100% tính toàn vẹn của cơ sở dữ liệu dự án</t>
        </is>
      </c>
    </row>
  </sheetData>
  <autoFilter ref="A1:E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5"/>
  <sheetViews>
    <sheetView showGridLines="1" workbookViewId="0">
      <pane ySplit="1" topLeftCell="A2" activePane="bottomLeft" state="frozen"/>
      <selection pane="bottomLeft" activeCell="A1" sqref="A1"/>
    </sheetView>
  </sheetViews>
  <sheetFormatPr baseColWidth="8" defaultRowHeight="15"/>
  <cols>
    <col width="14" customWidth="1" min="1" max="1"/>
    <col width="31" customWidth="1" min="2" max="2"/>
    <col width="49" customWidth="1" min="3" max="3"/>
    <col width="52" customWidth="1" min="4" max="4"/>
    <col width="52" customWidth="1" min="5" max="5"/>
    <col width="52" customWidth="1" min="6" max="6"/>
    <col width="52" customWidth="1" min="7" max="7"/>
    <col width="52" customWidth="1" min="8" max="8"/>
    <col width="13" customWidth="1" min="9" max="9"/>
    <col width="52" customWidth="1" min="10" max="10"/>
    <col width="16" customWidth="1" min="11" max="11"/>
  </cols>
  <sheetData>
    <row r="1" ht="28" customHeight="1">
      <c r="A1" s="4" t="inlineStr">
        <is>
          <t>Change_ID</t>
        </is>
      </c>
      <c r="B1" s="4" t="inlineStr">
        <is>
          <t>Entity_Type</t>
        </is>
      </c>
      <c r="C1" s="4" t="inlineStr">
        <is>
          <t>Entity_ID</t>
        </is>
      </c>
      <c r="D1" s="4" t="inlineStr">
        <is>
          <t>Field_Name</t>
        </is>
      </c>
      <c r="E1" s="4" t="inlineStr">
        <is>
          <t>Original_Value</t>
        </is>
      </c>
      <c r="F1" s="4" t="inlineStr">
        <is>
          <t>Corrected_Value</t>
        </is>
      </c>
      <c r="G1" s="4" t="inlineStr">
        <is>
          <t>Source_Evidence</t>
        </is>
      </c>
      <c r="H1" s="4" t="inlineStr">
        <is>
          <t>Reason</t>
        </is>
      </c>
      <c r="I1" s="4" t="inlineStr">
        <is>
          <t>Confidence</t>
        </is>
      </c>
      <c r="J1" s="4" t="inlineStr">
        <is>
          <t>Affected_Files</t>
        </is>
      </c>
      <c r="K1" s="4" t="inlineStr">
        <is>
          <t>Review_Status</t>
        </is>
      </c>
    </row>
    <row r="2" ht="20" customHeight="1">
      <c r="A2" s="5" t="inlineStr">
        <is>
          <t>CHG-COR-001</t>
        </is>
      </c>
      <c r="B2" s="5" t="inlineStr">
        <is>
          <t>Contribution</t>
        </is>
      </c>
      <c r="C2" s="5" t="inlineStr">
        <is>
          <t>CONTRIB-01</t>
        </is>
      </c>
      <c r="D2" s="5" t="inlineStr">
        <is>
          <t>Verification_Status &amp; Confidence</t>
        </is>
      </c>
      <c r="E2" s="5" t="inlineStr">
        <is>
          <t>VERIFIED / HIGH</t>
        </is>
      </c>
      <c r="F2" s="5" t="inlineStr">
        <is>
          <t>PARTIALLY_VERIFIED / MEDIUM</t>
        </is>
      </c>
      <c r="G2" s="5" t="inlineStr">
        <is>
          <t>GAP-02 in 07_Gap_Register.csv; MockMvc slices without live network OAuth tokens</t>
        </is>
      </c>
      <c r="H2" s="5" t="inlineStr">
        <is>
          <t>Live third-party Google/Facebook OAuth2 authentication cannot be verified in offline test environment</t>
        </is>
      </c>
      <c r="I2" s="8" t="inlineStr">
        <is>
          <t>HIGH</t>
        </is>
      </c>
      <c r="J2" s="5" t="inlineStr">
        <is>
          <t>03_Contribution_Log_RECONCILED.csv, 03_Contribution_Reconciliation.csv</t>
        </is>
      </c>
      <c r="K2" s="5" t="inlineStr">
        <is>
          <t>RECONCILED</t>
        </is>
      </c>
    </row>
    <row r="3" ht="20" customHeight="1">
      <c r="A3" s="6" t="inlineStr">
        <is>
          <t>CHG-COR-002</t>
        </is>
      </c>
      <c r="B3" s="6" t="inlineStr">
        <is>
          <t>Contribution</t>
        </is>
      </c>
      <c r="C3" s="6" t="inlineStr">
        <is>
          <t>CONTRIB-02</t>
        </is>
      </c>
      <c r="D3" s="6" t="inlineStr">
        <is>
          <t>Verification_Status &amp; Confidence</t>
        </is>
      </c>
      <c r="E3" s="6" t="inlineStr">
        <is>
          <t>VERIFIED / HIGH</t>
        </is>
      </c>
      <c r="F3" s="6" t="inlineStr">
        <is>
          <t>PARTIALLY_VERIFIED / MEDIUM</t>
        </is>
      </c>
      <c r="G3" s="6" t="inlineStr">
        <is>
          <t>GAP-02 in 07_Gap_Register.csv; MockMvc slices without live network OAuth tokens</t>
        </is>
      </c>
      <c r="H3" s="6" t="inlineStr">
        <is>
          <t>Live third-party Google/Facebook OAuth2 authentication cannot be verified in offline test environment</t>
        </is>
      </c>
      <c r="I3" s="8" t="inlineStr">
        <is>
          <t>HIGH</t>
        </is>
      </c>
      <c r="J3" s="6" t="inlineStr">
        <is>
          <t>03_Contribution_Log_RECONCILED.csv, 03_Contribution_Reconciliation.csv</t>
        </is>
      </c>
      <c r="K3" s="6" t="inlineStr">
        <is>
          <t>RECONCILED</t>
        </is>
      </c>
    </row>
    <row r="4" ht="20" customHeight="1">
      <c r="A4" s="5" t="inlineStr">
        <is>
          <t>CHG-COR-003</t>
        </is>
      </c>
      <c r="B4" s="5" t="inlineStr">
        <is>
          <t>Contribution</t>
        </is>
      </c>
      <c r="C4" s="5" t="inlineStr">
        <is>
          <t>CONTRIB-03</t>
        </is>
      </c>
      <c r="D4" s="5" t="inlineStr">
        <is>
          <t>Verification_Status &amp; Confidence</t>
        </is>
      </c>
      <c r="E4" s="5" t="inlineStr">
        <is>
          <t>VERIFIED / HIGH</t>
        </is>
      </c>
      <c r="F4" s="5" t="inlineStr">
        <is>
          <t>PARTIALLY_VERIFIED / MEDIUM</t>
        </is>
      </c>
      <c r="G4" s="5" t="inlineStr">
        <is>
          <t>GAP-08 in 07_Gap_Register.csv; Spring Mail test mock</t>
        </is>
      </c>
      <c r="H4" s="5" t="inlineStr">
        <is>
          <t>Live email dispatch requires active SMTP/SendGrid server configuration</t>
        </is>
      </c>
      <c r="I4" s="8" t="inlineStr">
        <is>
          <t>HIGH</t>
        </is>
      </c>
      <c r="J4" s="5" t="inlineStr">
        <is>
          <t>03_Contribution_Log_RECONCILED.csv, 03_Contribution_Reconciliation.csv</t>
        </is>
      </c>
      <c r="K4" s="5" t="inlineStr">
        <is>
          <t>RECONCILED</t>
        </is>
      </c>
    </row>
    <row r="5" ht="20" customHeight="1">
      <c r="A5" s="6" t="inlineStr">
        <is>
          <t>CHG-COR-004</t>
        </is>
      </c>
      <c r="B5" s="6" t="inlineStr">
        <is>
          <t>Contribution</t>
        </is>
      </c>
      <c r="C5" s="6" t="inlineStr">
        <is>
          <t>CONTRIB-10</t>
        </is>
      </c>
      <c r="D5" s="6" t="inlineStr">
        <is>
          <t>Verification_Status &amp; Confidence</t>
        </is>
      </c>
      <c r="E5" s="6" t="inlineStr">
        <is>
          <t>VERIFIED / HIGH</t>
        </is>
      </c>
      <c r="F5" s="6" t="inlineStr">
        <is>
          <t>PARTIALLY_VERIFIED / MEDIUM</t>
        </is>
      </c>
      <c r="G5" s="6" t="inlineStr">
        <is>
          <t>GAP-01 in 07_Gap_Register.csv; VNPayClient mock test without live IPN network ping</t>
        </is>
      </c>
      <c r="H5" s="6" t="inlineStr">
        <is>
          <t>Live VNPay merchant integration and IPN webhook handling require live network connectivity</t>
        </is>
      </c>
      <c r="I5" s="8" t="inlineStr">
        <is>
          <t>HIGH</t>
        </is>
      </c>
      <c r="J5" s="6" t="inlineStr">
        <is>
          <t>03_Contribution_Log_RECONCILED.csv, 03_Contribution_Reconciliation.csv</t>
        </is>
      </c>
      <c r="K5" s="6" t="inlineStr">
        <is>
          <t>RECONCILED</t>
        </is>
      </c>
    </row>
    <row r="6" ht="20" customHeight="1">
      <c r="A6" s="5" t="inlineStr">
        <is>
          <t>CHG-COR-001</t>
        </is>
      </c>
      <c r="B6" s="5" t="inlineStr">
        <is>
          <t>Identity / Member</t>
        </is>
      </c>
      <c r="C6" s="5" t="inlineStr">
        <is>
          <t>MEM-01 (Lê Đức Hoàng)</t>
        </is>
      </c>
      <c r="D6" s="5" t="inlineStr">
        <is>
          <t>Student_ID</t>
        </is>
      </c>
      <c r="E6" s="5" t="inlineStr">
        <is>
          <t>UNKNOWN</t>
        </is>
      </c>
      <c r="F6" s="5" t="inlineStr">
        <is>
          <t>HE204568</t>
        </is>
      </c>
      <c r="G6" s="5" t="inlineStr">
        <is>
          <t>Task_Project_G1_IS2005.xlsx sheet 'Đánh giá thành viên' row 9</t>
        </is>
      </c>
      <c r="H6" s="5" t="inlineStr">
        <is>
          <t>Official Student ID was missing in Git metadata but present in authoritative planning roster</t>
        </is>
      </c>
      <c r="I6" s="8" t="inlineStr">
        <is>
          <t>HIGH</t>
        </is>
      </c>
      <c r="J6" s="5" t="inlineStr">
        <is>
          <t>10_Identity_Mapping_RECONCILED.csv, 02_Identity_Reconciliation.csv, HSWRMS_DANH_GIA_DONG_GOP_THANH_VIEN_RECONCILED.xlsx</t>
        </is>
      </c>
      <c r="K6" s="5" t="inlineStr">
        <is>
          <t>RECONCILED</t>
        </is>
      </c>
    </row>
    <row r="7" ht="20" customHeight="1">
      <c r="A7" s="6" t="inlineStr">
        <is>
          <t>CHG-COR-002</t>
        </is>
      </c>
      <c r="B7" s="6" t="inlineStr">
        <is>
          <t>Identity / Member</t>
        </is>
      </c>
      <c r="C7" s="6" t="inlineStr">
        <is>
          <t>MEM-04 (Vũ Phương Thảo)</t>
        </is>
      </c>
      <c r="D7" s="6" t="inlineStr">
        <is>
          <t>Student_ID</t>
        </is>
      </c>
      <c r="E7" s="6" t="inlineStr">
        <is>
          <t>UNKNOWN</t>
        </is>
      </c>
      <c r="F7" s="6" t="inlineStr">
        <is>
          <t>HE204054</t>
        </is>
      </c>
      <c r="G7" s="6" t="inlineStr">
        <is>
          <t>Task_Project_G1_IS2005.xlsx sheet 'Đánh giá thành viên' row 8</t>
        </is>
      </c>
      <c r="H7" s="6" t="inlineStr">
        <is>
          <t>Official Student ID was missing in Git metadata but present in authoritative planning roster</t>
        </is>
      </c>
      <c r="I7" s="8" t="inlineStr">
        <is>
          <t>HIGH</t>
        </is>
      </c>
      <c r="J7" s="6" t="inlineStr">
        <is>
          <t>10_Identity_Mapping_RECONCILED.csv, 02_Identity_Reconciliation.csv, HSWRMS_DANH_GIA_DONG_GOP_THANH_VIEN_RECONCILED.xlsx</t>
        </is>
      </c>
      <c r="K7" s="6" t="inlineStr">
        <is>
          <t>RECONCILED</t>
        </is>
      </c>
    </row>
    <row r="8" ht="20" customHeight="1">
      <c r="A8" s="5" t="inlineStr">
        <is>
          <t>CHG-COR-003</t>
        </is>
      </c>
      <c r="B8" s="5" t="inlineStr">
        <is>
          <t>Identity / Member</t>
        </is>
      </c>
      <c r="C8" s="5" t="inlineStr">
        <is>
          <t>MEM-06 (Phan/Phạm Thành Vinh)</t>
        </is>
      </c>
      <c r="D8" s="5" t="inlineStr">
        <is>
          <t>Student_ID &amp; Full_Name</t>
        </is>
      </c>
      <c r="E8" s="5" t="inlineStr">
        <is>
          <t>Phan Thành Vinh / UNKNOWN</t>
        </is>
      </c>
      <c r="F8" s="5" t="inlineStr">
        <is>
          <t>Phạm Thành Vinh (Alias: Phan Thành Vinh) / HE186593</t>
        </is>
      </c>
      <c r="G8" s="5" t="inlineStr">
        <is>
          <t>Task_Project_G1_IS2005.xlsx sheet 'Đánh giá thành viên' row 7</t>
        </is>
      </c>
      <c r="H8" s="5" t="inlineStr">
        <is>
          <t>Surname recorded as 'Phạm' in official planning sheet; 'Phan' was used in earlier audit notes. Student ID HE186593 confirmed.</t>
        </is>
      </c>
      <c r="I8" s="8" t="inlineStr">
        <is>
          <t>HIGH</t>
        </is>
      </c>
      <c r="J8" s="5" t="inlineStr">
        <is>
          <t>10_Identity_Mapping_RECONCILED.csv, 02_Identity_Reconciliation.csv, HSWRMS_DANH_GIA_DONG_GOP_THANH_VIEN_RECONCILED.xlsx</t>
        </is>
      </c>
      <c r="K8" s="5" t="inlineStr">
        <is>
          <t>RECONCILED</t>
        </is>
      </c>
    </row>
    <row r="9" ht="20" customHeight="1">
      <c r="A9" s="6" t="inlineStr">
        <is>
          <t>CHG-COR-004</t>
        </is>
      </c>
      <c r="B9" s="6" t="inlineStr">
        <is>
          <t>Identity / Member</t>
        </is>
      </c>
      <c r="C9" s="6" t="inlineStr">
        <is>
          <t>MEM-05 (Trần/Tăng Xuân Hòa)</t>
        </is>
      </c>
      <c r="D9" s="6" t="inlineStr">
        <is>
          <t>Full_Name</t>
        </is>
      </c>
      <c r="E9" s="6" t="inlineStr">
        <is>
          <t>Trần Xuân Hòa</t>
        </is>
      </c>
      <c r="F9" s="6" t="inlineStr">
        <is>
          <t>Tăng Xuân Hòa (Alias: Trần Xuân Hòa)</t>
        </is>
      </c>
      <c r="G9" s="6" t="inlineStr">
        <is>
          <t>Task_Project_G1_IS2005.xlsx sheet 'Đánh giá thành viên' row 4</t>
        </is>
      </c>
      <c r="H9" s="6" t="inlineStr">
        <is>
          <t>Surname recorded as 'Tăng' in official planning sheet; 'Trần' was used in earlier audit notes. Student ID HE180798 matched.</t>
        </is>
      </c>
      <c r="I9" s="8" t="inlineStr">
        <is>
          <t>HIGH</t>
        </is>
      </c>
      <c r="J9" s="6" t="inlineStr">
        <is>
          <t>10_Identity_Mapping_RECONCILED.csv, 02_Identity_Reconciliation.csv, HSWRMS_DANH_GIA_DONG_GOP_THANH_VIEN_RECONCILED.xlsx</t>
        </is>
      </c>
      <c r="K9" s="6" t="inlineStr">
        <is>
          <t>RECONCILED</t>
        </is>
      </c>
    </row>
    <row r="10" ht="20" customHeight="1">
      <c r="A10" s="5" t="inlineStr">
        <is>
          <t>CHG-COR-005</t>
        </is>
      </c>
      <c r="B10" s="5" t="inlineStr">
        <is>
          <t>Governance / Denominator</t>
        </is>
      </c>
      <c r="C10" s="5" t="inlineStr">
        <is>
          <t>MEM-07 (Nguyễn Cường Mạnh)</t>
        </is>
      </c>
      <c r="D10" s="5" t="inlineStr">
        <is>
          <t>Scoring_Inclusion</t>
        </is>
      </c>
      <c r="E10" s="5" t="inlineStr">
        <is>
          <t>Included in identity mapping without explicit student/lecturer score separation flag</t>
        </is>
      </c>
      <c r="F10" s="5" t="inlineStr">
        <is>
          <t>EXCLUDED_FROM_STUDENT_SCORING (Instructor/Supervisor)</t>
        </is>
      </c>
      <c r="G10" s="5" t="inlineStr">
        <is>
          <t>GitLab namespace manhnc2, FPT @fe.edu.vn email, academic supervisor role</t>
        </is>
      </c>
      <c r="H10" s="5" t="inlineStr">
        <is>
          <t>Instructor must not be included in student contribution denominator, score averages, or student ranking</t>
        </is>
      </c>
      <c r="I10" s="8" t="inlineStr">
        <is>
          <t>HIGH</t>
        </is>
      </c>
      <c r="J10" s="5" t="inlineStr">
        <is>
          <t>HSWRMS_DANH_GIA_DONG_GOP_THANH_VIEN_RECONCILED.xlsx, 02_Identity_Reconciliation.csv</t>
        </is>
      </c>
      <c r="K10" s="5" t="inlineStr">
        <is>
          <t>RECONCILED</t>
        </is>
      </c>
    </row>
    <row r="11" ht="20" customHeight="1">
      <c r="A11" s="6" t="inlineStr">
        <is>
          <t>CHG-COR-006</t>
        </is>
      </c>
      <c r="B11" s="6" t="inlineStr">
        <is>
          <t>Scope Definition</t>
        </is>
      </c>
      <c r="C11" s="6" t="inlineStr">
        <is>
          <t>Project Functional Taxonomy</t>
        </is>
      </c>
      <c r="D11" s="6" t="inlineStr">
        <is>
          <t>27 vs 49 Completeness Items</t>
        </is>
      </c>
      <c r="E11" s="6" t="inlineStr">
        <is>
          <t>Report mentioned 27 functions without reconciling with 49 rows in 04_Module_Completeness.csv</t>
        </is>
      </c>
      <c r="F11" s="6" t="inlineStr">
        <is>
          <t>27 Core Business Use Cases vs 49 Granular Technical Components</t>
        </is>
      </c>
      <c r="G11" s="6" t="inlineStr">
        <is>
          <t>SRS functional use case chapters (M1: 4, M2: 5, M3: 4, M4: 5, M5: 5, M6: 4 = 27 use cases) vs 43 module features + 6 infra items in code</t>
        </is>
      </c>
      <c r="H11" s="6" t="inlineStr">
        <is>
          <t>Taxonomic scope reconciliation: 27 represents high-level user-facing business flows; 49 represents technical component deliverables</t>
        </is>
      </c>
      <c r="I11" s="8" t="inlineStr">
        <is>
          <t>HIGH</t>
        </is>
      </c>
      <c r="J11" s="6" t="inlineStr">
        <is>
          <t>04_Module_Evidence_Reconciliation.csv, HSWRMS_BAO_CAO_TONG_KET_DU_AN_RECONCILED.md</t>
        </is>
      </c>
      <c r="K11" s="6" t="inlineStr">
        <is>
          <t>RECONCILED</t>
        </is>
      </c>
    </row>
    <row r="12" ht="20" customHeight="1">
      <c r="A12" s="5" t="inlineStr">
        <is>
          <t>CHG-COR-007</t>
        </is>
      </c>
      <c r="B12" s="5" t="inlineStr">
        <is>
          <t>Test Environment</t>
        </is>
      </c>
      <c r="C12" s="5" t="inlineStr">
        <is>
          <t>Backend Test Suite (536 tests)</t>
        </is>
      </c>
      <c r="D12" s="5" t="inlineStr">
        <is>
          <t>Audit_Verification_Status</t>
        </is>
      </c>
      <c r="E12" s="5" t="inlineStr">
        <is>
          <t>Uniformly labeled VERIFIED</t>
        </is>
      </c>
      <c r="F12" s="5" t="inlineStr">
        <is>
          <t>REPORTED_FROM_PHASE_118_LOGS (H2 in MSSQLServer mode)</t>
        </is>
      </c>
      <c r="G12" s="5" t="inlineStr">
        <is>
          <t>PHASE_5.8.3.117-5.8.3.118_FULL_TEAM_MERGE_HISTORY.txt build logs</t>
        </is>
      </c>
      <c r="H12" s="5" t="inlineStr">
        <is>
          <t>536 backend tests were run during Phase 118 build on in-memory H2. Not independently rerun during read-only audit turn; live SQL Server tests skipped by design.</t>
        </is>
      </c>
      <c r="I12" s="8" t="inlineStr">
        <is>
          <t>HIGH</t>
        </is>
      </c>
      <c r="J12" s="5" t="inlineStr">
        <is>
          <t>05_Test_Evidence_Reconciliation.csv, 06_Test_Evidence_RECONCILED.csv, HSWRMS_BAO_CAO_TONG_KET_DU_AN_RECONCILED.md</t>
        </is>
      </c>
      <c r="K12" s="5" t="inlineStr">
        <is>
          <t>RECONCILED</t>
        </is>
      </c>
    </row>
    <row r="13" ht="20" customHeight="1">
      <c r="A13" s="6" t="inlineStr">
        <is>
          <t>CHG-COR-008</t>
        </is>
      </c>
      <c r="B13" s="6" t="inlineStr">
        <is>
          <t>Scoring Model / Rubric</t>
        </is>
      </c>
      <c r="C13" s="6" t="inlineStr">
        <is>
          <t>Student Score Totals (MEM-01 to MEM-06)</t>
        </is>
      </c>
      <c r="D13" s="6" t="inlineStr">
        <is>
          <t>Formula &amp; Calculation Method</t>
        </is>
      </c>
      <c r="E13" s="6" t="inlineStr">
        <is>
          <t>Indirect category weighting (Hoàng: 9.15, G.Đạt: 8.92, T.Đạt: 9.83, Thảo: 9.24, Hòa: 9.11, Vinh: 8.97; TB: 9.20)</t>
        </is>
      </c>
      <c r="F13" s="6" t="inlineStr">
        <is>
          <t>Direct 11-criterion SUMPRODUCT: Hoàng: 9.17, G.Đạt: 8.86, T.Đạt: 9.84, Thảo: 9.24, Hòa: 9.09, Vinh: 8.94; TB: 9.19</t>
        </is>
      </c>
      <c r="G13" s="6" t="inlineStr">
        <is>
          <t>Scoring_Rubric criteria TC-01 to TC-11 weights (summing to 100.0%) and student criterion scores</t>
        </is>
      </c>
      <c r="H13" s="6" t="inlineStr">
        <is>
          <t>Recalculated student score totals directly from the 11 criterion scores and their rubric weights, eliminating intermediate rounding discrepancies</t>
        </is>
      </c>
      <c r="I13" s="8" t="inlineStr">
        <is>
          <t>HIGH</t>
        </is>
      </c>
      <c r="J13" s="6" t="inlineStr">
        <is>
          <t>HSWRMS_DANH_GIA_DONG_GOP_THANH_VIEN_RECONCILED.xlsx, HSWRMS_BAO_CAO_TONG_KET_DU_AN_RECONCILED.md, TIN_NHAN_ZALO_TONG_KET_HSWRMS_REVISED.md</t>
        </is>
      </c>
      <c r="K13" s="6" t="inlineStr">
        <is>
          <t>RECONCILED</t>
        </is>
      </c>
    </row>
    <row r="14" ht="20" customHeight="1">
      <c r="A14" s="5" t="inlineStr">
        <is>
          <t>CHG-COR-009</t>
        </is>
      </c>
      <c r="B14" s="5" t="inlineStr">
        <is>
          <t>WBS Reconciliation</t>
        </is>
      </c>
      <c r="C14" s="5" t="inlineStr">
        <is>
          <t>Task_Project_G1_IS2005.xlsx row 185</t>
        </is>
      </c>
      <c r="D14" s="5" t="inlineStr">
        <is>
          <t>Row Classification &amp; Row Count (180 vs 181)</t>
        </is>
      </c>
      <c r="E14" s="5" t="inlineStr">
        <is>
          <t>181 WBS tasks listed without distinguishing row 185 footnote</t>
        </is>
      </c>
      <c r="F14" s="5" t="inlineStr">
        <is>
          <t>180 functional WBS tasks (rows 4-183) + 1 administrative planning footnote (row 185: NOTE) = 181 rows; completion assessment added</t>
        </is>
      </c>
      <c r="G14" s="5" t="inlineStr">
        <is>
          <t>Task_Project_G1_IS2005.xlsx sheet Official Plan row 185 ("NOTE: Thực tế 11/11 là buổi học cuối...")</t>
        </is>
      </c>
      <c r="H14" s="5" t="inlineStr">
        <is>
          <t>Identified exact extra row as planning milestone note; separated Reconciliation_Relationship from evidence-based completion assessment</t>
        </is>
      </c>
      <c r="I14" s="8" t="inlineStr">
        <is>
          <t>HIGH</t>
        </is>
      </c>
      <c r="J14" s="5" t="inlineStr">
        <is>
          <t>01_Task_Assignment_Reconciliation.csv, HSWRMS_DANH_GIA_DONG_GOP_THANH_VIEN_RECONCILED.xlsx</t>
        </is>
      </c>
      <c r="K14" s="5" t="inlineStr">
        <is>
          <t>RECONCILED</t>
        </is>
      </c>
    </row>
    <row r="15" ht="20" customHeight="1">
      <c r="A15" s="6" t="inlineStr">
        <is>
          <t>CHG-COR-010</t>
        </is>
      </c>
      <c r="B15" s="6" t="inlineStr">
        <is>
          <t>Test Evidence Reconciliation</t>
        </is>
      </c>
      <c r="C15" s="6" t="inlineStr">
        <is>
          <t>Detailed Backend Breakdown (516 vs 526 Passed)</t>
        </is>
      </c>
      <c r="D15" s="6" t="inlineStr">
        <is>
          <t>Audit_Verification_Status &amp; Reconciliation Variance</t>
        </is>
      </c>
      <c r="E15" s="6" t="inlineStr">
        <is>
          <t>Detailed rows summed to 516 passed tests without explaining 10-test gap to 526 passed aggregate</t>
        </is>
      </c>
      <c r="F15" s="6" t="inlineStr">
        <is>
          <t>Preserved 536 aggregate (526 passed, 10 skipped); labeled 10-test breakdown variance as UNRESOLVED_BREAKDOWN_VARIANCE without fabricating tests</t>
        </is>
      </c>
      <c r="G15" s="6" t="inlineStr">
        <is>
          <t>PHASE_5.8.3.117-5.8.3.118_FULL_TEAM_MERGE_HISTORY.txt lines 75-76 and Section 8.2 (sample suites only)</t>
        </is>
      </c>
      <c r="H15" s="6" t="inlineStr">
        <is>
          <t>Supplied source provides only sample suites; full 536 breakdown cannot be conclusively established without full Surefire XML logs</t>
        </is>
      </c>
      <c r="I15" s="8" t="inlineStr">
        <is>
          <t>HIGH</t>
        </is>
      </c>
      <c r="J15" s="6" t="inlineStr">
        <is>
          <t>05_Test_Evidence_Reconciliation.csv, 06_Test_Evidence_RECONCILED.csv, HSWRMS_DANH_GIA_DONG_GOP_THANH_VIEN_RECONCILED.xlsx</t>
        </is>
      </c>
      <c r="K15" s="6" t="inlineStr">
        <is>
          <t>RECONCILED</t>
        </is>
      </c>
    </row>
  </sheetData>
  <autoFilter ref="A1:K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2026-10-29T12:18:58Z</dcterms:created>
  <dcterms:modified xmlns:dcterms="http://purl.org/dc/terms/" xmlns:xsi="http://www.w3.org/2001/XMLSchema-instance" xsi:type="dcterms:W3CDTF">2026-10-29T12:18:59Z</dcterms:modified>
</cp:coreProperties>
</file>