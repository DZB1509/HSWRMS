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treat Packages (M2)" sheetId="1" state="visible" r:id="rId1"/>
    <sheet xmlns:r="http://schemas.openxmlformats.org/officeDocument/2006/relationships" name="2. Spa Catalog (M3)" sheetId="2" state="visible" r:id="rId2"/>
    <sheet xmlns:r="http://schemas.openxmlformats.org/officeDocument/2006/relationships" name="3. Rules &amp; Configuration" sheetId="3" state="visible" r:id="rId3"/>
    <sheet xmlns:r="http://schemas.openxmlformats.org/officeDocument/2006/relationships" name="4. Package Treatment Mapping" sheetId="4" state="visible" r:id="rId4"/>
    <sheet xmlns:r="http://schemas.openxmlformats.org/officeDocument/2006/relationships" name="5. Package F&amp;B Entitlements" sheetId="5" state="visible" r:id="rId5"/>
    <sheet xmlns:r="http://schemas.openxmlformats.org/officeDocument/2006/relationships" name="6. Room Master &amp; Compatibility" sheetId="6" state="visible" r:id="rId6"/>
    <sheet xmlns:r="http://schemas.openxmlformats.org/officeDocument/2006/relationships" name="7. Qualification Master"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B4D3E"/>
      <sz val="14"/>
    </font>
    <font>
      <name val="Segoe UI"/>
      <i val="1"/>
      <color rgb="00555555"/>
      <sz val="10"/>
    </font>
    <font>
      <name val="Segoe UI"/>
      <b val="1"/>
      <color rgb="00FFFFFF"/>
      <sz val="10"/>
    </font>
    <font>
      <name val="Segoe UI"/>
      <color rgb="00111111"/>
      <sz val="9.5"/>
    </font>
    <font>
      <name val="Consolas"/>
      <b val="1"/>
      <color rgb="001B4D3E"/>
      <sz val="9.5"/>
    </font>
    <font>
      <name val="Segoe UI"/>
      <b val="1"/>
      <color rgb="00111111"/>
      <sz val="9.5"/>
    </font>
    <font>
      <name val="Segoe UI"/>
      <b val="1"/>
      <color rgb="001B4D3E"/>
      <sz val="11"/>
    </font>
  </fonts>
  <fills count="9">
    <fill>
      <patternFill/>
    </fill>
    <fill>
      <patternFill patternType="gray125"/>
    </fill>
    <fill>
      <patternFill patternType="solid">
        <fgColor rgb="001B4D3E"/>
        <bgColor rgb="001B4D3E"/>
      </patternFill>
    </fill>
    <fill>
      <patternFill patternType="solid">
        <fgColor rgb="00FFFFFF"/>
        <bgColor rgb="00FFFFFF"/>
      </patternFill>
    </fill>
    <fill>
      <patternFill patternType="solid">
        <fgColor rgb="00F8FAF9"/>
        <bgColor rgb="00F8FAF9"/>
      </patternFill>
    </fill>
    <fill>
      <patternFill patternType="solid">
        <fgColor rgb="00D8E2DC"/>
        <bgColor rgb="00D8E2DC"/>
      </patternFill>
    </fill>
    <fill>
      <patternFill patternType="solid">
        <fgColor rgb="00FFEBEE"/>
        <bgColor rgb="00FFEBEE"/>
      </patternFill>
    </fill>
    <fill>
      <patternFill patternType="solid">
        <fgColor rgb="00E8F5E9"/>
        <bgColor rgb="00E8F5E9"/>
      </patternFill>
    </fill>
    <fill>
      <patternFill patternType="solid">
        <fgColor rgb="00FFF3E0"/>
        <bgColor rgb="00FFF3E0"/>
      </patternFill>
    </fill>
  </fills>
  <borders count="3">
    <border>
      <left/>
      <right/>
      <top/>
      <bottom/>
      <diagonal/>
    </border>
    <border>
      <left style="thin">
        <color rgb="00C0C0C0"/>
      </left>
      <right style="thin">
        <color rgb="00C0C0C0"/>
      </right>
      <top style="medium">
        <color rgb="001B4D3E"/>
      </top>
      <bottom style="medium">
        <color rgb="001B4D3E"/>
      </bottom>
    </border>
    <border>
      <left style="thin">
        <color rgb="00C0C0C0"/>
      </left>
      <right style="thin">
        <color rgb="00C0C0C0"/>
      </right>
      <top style="thin">
        <color rgb="00C0C0C0"/>
      </top>
      <bottom style="thin">
        <color rgb="00C0C0C0"/>
      </bottom>
    </border>
  </borders>
  <cellStyleXfs count="1">
    <xf numFmtId="0" fontId="0" fillId="0" borderId="0"/>
  </cellStyleXfs>
  <cellXfs count="31">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5" fillId="3" borderId="2" applyAlignment="1" pivotButton="0" quotePrefix="0" xfId="0">
      <alignment horizontal="center" vertical="center"/>
    </xf>
    <xf numFmtId="0" fontId="4" fillId="3" borderId="2" applyAlignment="1" pivotButton="0" quotePrefix="0" xfId="0">
      <alignment horizontal="left" vertical="center"/>
    </xf>
    <xf numFmtId="0" fontId="4" fillId="3" borderId="2" applyAlignment="1" pivotButton="0" quotePrefix="0" xfId="0">
      <alignment horizontal="center" vertical="center"/>
    </xf>
    <xf numFmtId="3" fontId="4" fillId="3" borderId="2" applyAlignment="1" pivotButton="0" quotePrefix="0" xfId="0">
      <alignment horizontal="center" vertical="center"/>
    </xf>
    <xf numFmtId="3" fontId="6" fillId="3" borderId="2" applyAlignment="1" pivotButton="0" quotePrefix="0" xfId="0">
      <alignment horizontal="right" vertical="center"/>
    </xf>
    <xf numFmtId="0" fontId="4" fillId="3" borderId="2" applyAlignment="1" pivotButton="0" quotePrefix="0" xfId="0">
      <alignment horizontal="left" vertical="center" wrapText="1"/>
    </xf>
    <xf numFmtId="0" fontId="5" fillId="4" borderId="2" applyAlignment="1" pivotButton="0" quotePrefix="0" xfId="0">
      <alignment horizontal="center" vertical="center"/>
    </xf>
    <xf numFmtId="0" fontId="4" fillId="4" borderId="2" applyAlignment="1" pivotButton="0" quotePrefix="0" xfId="0">
      <alignment horizontal="left" vertical="center"/>
    </xf>
    <xf numFmtId="0" fontId="4" fillId="4" borderId="2" applyAlignment="1" pivotButton="0" quotePrefix="0" xfId="0">
      <alignment horizontal="center" vertical="center"/>
    </xf>
    <xf numFmtId="3" fontId="4" fillId="4" borderId="2" applyAlignment="1" pivotButton="0" quotePrefix="0" xfId="0">
      <alignment horizontal="center" vertical="center"/>
    </xf>
    <xf numFmtId="3" fontId="6" fillId="4" borderId="2" applyAlignment="1" pivotButton="0" quotePrefix="0" xfId="0">
      <alignment horizontal="right" vertical="center"/>
    </xf>
    <xf numFmtId="0" fontId="4" fillId="4" borderId="2" applyAlignment="1" pivotButton="0" quotePrefix="0" xfId="0">
      <alignment horizontal="left" vertical="center" wrapText="1"/>
    </xf>
    <xf numFmtId="0" fontId="6" fillId="5" borderId="2" applyAlignment="1" pivotButton="0" quotePrefix="0" xfId="0">
      <alignment horizontal="center" vertical="center"/>
    </xf>
    <xf numFmtId="0" fontId="0" fillId="0" borderId="2" pivotButton="0" quotePrefix="0" xfId="0"/>
    <xf numFmtId="3" fontId="6" fillId="5" borderId="2" applyAlignment="1" pivotButton="0" quotePrefix="0" xfId="0">
      <alignment horizontal="right" vertical="center"/>
    </xf>
    <xf numFmtId="0" fontId="0" fillId="5" borderId="2" pivotButton="0" quotePrefix="0" xfId="0"/>
    <xf numFmtId="0" fontId="4" fillId="6" borderId="2" applyAlignment="1" pivotButton="0" quotePrefix="0" xfId="0">
      <alignment horizontal="left" vertical="center" wrapText="1"/>
    </xf>
    <xf numFmtId="0" fontId="6" fillId="7" borderId="2" applyAlignment="1" pivotButton="0" quotePrefix="0" xfId="0">
      <alignment horizontal="center" vertical="center"/>
    </xf>
    <xf numFmtId="0" fontId="6" fillId="8" borderId="2" applyAlignment="1" pivotButton="0" quotePrefix="0" xfId="0">
      <alignment horizontal="center" vertical="center"/>
    </xf>
    <xf numFmtId="0" fontId="7" fillId="5" borderId="0" applyAlignment="1" pivotButton="0" quotePrefix="0" xfId="0">
      <alignment horizontal="left" vertical="center"/>
    </xf>
    <xf numFmtId="0" fontId="4" fillId="7" borderId="2" applyAlignment="1" pivotButton="0" quotePrefix="0" xfId="0">
      <alignment horizontal="center" vertical="center"/>
    </xf>
    <xf numFmtId="0" fontId="4" fillId="8" borderId="2" applyAlignment="1" pivotButton="0" quotePrefix="0" xfId="0">
      <alignment horizontal="center" vertical="center"/>
    </xf>
    <xf numFmtId="3" fontId="6" fillId="3" borderId="2" applyAlignment="1" pivotButton="0" quotePrefix="0" xfId="0">
      <alignment horizontal="center" vertical="center"/>
    </xf>
    <xf numFmtId="3" fontId="6" fillId="4" borderId="2" applyAlignment="1" pivotButton="0" quotePrefix="0" xfId="0">
      <alignment horizontal="center" vertical="center"/>
    </xf>
    <xf numFmtId="3" fontId="6" fillId="5" borderId="2" applyAlignment="1" pivotButton="0" quotePrefix="0" xfId="0">
      <alignment horizontal="center" vertical="center"/>
    </xf>
    <xf numFmtId="0" fontId="5" fillId="8" borderId="2" applyAlignment="1" pivotButton="0" quotePrefix="0" xfId="0">
      <alignment horizontal="center" vertical="center"/>
    </xf>
    <xf numFmtId="0" fontId="7"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showGridLines="1" workbookViewId="0">
      <pane ySplit="4" topLeftCell="A5" activePane="bottomLeft" state="frozen"/>
      <selection pane="bottomLeft" activeCell="A1" sqref="A1"/>
    </sheetView>
  </sheetViews>
  <sheetFormatPr baseColWidth="8" defaultRowHeight="15"/>
  <cols>
    <col width="16" customWidth="1" min="1" max="1"/>
    <col width="48" customWidth="1" min="2" max="2"/>
    <col width="29" customWidth="1" min="3" max="3"/>
    <col width="20" customWidth="1" min="4" max="4"/>
    <col width="15" customWidth="1" min="5" max="5"/>
    <col width="19" customWidth="1" min="6" max="6"/>
    <col width="20" customWidth="1" min="7" max="7"/>
    <col width="19" customWidth="1" min="8" max="8"/>
    <col width="48" customWidth="1" min="9" max="9"/>
    <col width="48" customWidth="1" min="10" max="10"/>
    <col width="48" customWidth="1" min="11" max="11"/>
  </cols>
  <sheetData>
    <row r="1">
      <c r="A1" s="1" t="inlineStr">
        <is>
          <t>DANH MỤC GÓI NGHỈ DƯỠNG &amp; TRỊ LIỆU (RETREAT PACKAGES - MODULE 2) [VERSION 3]</t>
        </is>
      </c>
    </row>
    <row r="2">
      <c r="A2" s="2" t="inlineStr">
        <is>
          <t>Dự án HSWRMS | Chuẩn hóa ánh xạ Database: package_id, duration_nights, base_price, base_price_unit = 'VND/PERSON/PACKAGE', package_status = 'ACTIVE'</t>
        </is>
      </c>
    </row>
    <row r="3"/>
    <row r="4" ht="34" customHeight="1">
      <c r="A4" s="3" t="inlineStr">
        <is>
          <t>Mã Gói
(package_id)</t>
        </is>
      </c>
      <c r="B4" s="3" t="inlineStr">
        <is>
          <t>Tên Gói Nghỉ Dưỡng
(package_name)</t>
        </is>
      </c>
      <c r="C4" s="3" t="inlineStr">
        <is>
          <t>Mục Tiêu Sức Khỏe
(wellness_goal)</t>
        </is>
      </c>
      <c r="D4" s="3" t="inlineStr">
        <is>
          <t>Thời Lượng
(duration_nights)</t>
        </is>
      </c>
      <c r="E4" s="3" t="inlineStr">
        <is>
          <t>Đơn Vị
Thời Lượng</t>
        </is>
      </c>
      <c r="F4" s="3" t="inlineStr">
        <is>
          <t>Giá Cơ Sở Gói
(base_price)</t>
        </is>
      </c>
      <c r="G4" s="3" t="inlineStr">
        <is>
          <t>Đơn Vị Tính Giá
(base_price_unit)</t>
        </is>
      </c>
      <c r="H4" s="3" t="inlineStr">
        <is>
          <t>Trạng Thái Gói
(package_status)</t>
        </is>
      </c>
      <c r="I4" s="3" t="inlineStr">
        <is>
          <t>Chi Tiết Quyền Lợi Trị Liệu
(Mapped Treatment ID &amp; Sessions)</t>
        </is>
      </c>
      <c r="J4" s="3" t="inlineStr">
        <is>
          <t>Kế Hoạch Dinh Dưỡng Đi Kèm
(F&amp;B Plan Module 4)</t>
        </is>
      </c>
      <c r="K4" s="3" t="inlineStr">
        <is>
          <t>Quy Tắc Tính Phí Phát Sinh
(Extra Charge Policy - Rule 21)</t>
        </is>
      </c>
    </row>
    <row r="5" ht="68" customHeight="1">
      <c r="A5" s="4" t="inlineStr">
        <is>
          <t>RET-DETOX-03</t>
        </is>
      </c>
      <c r="B5" s="5" t="inlineStr">
        <is>
          <t>3D2N Thải Độc &amp; Thanh Lọc Tinh Khiết (Pure Detox)</t>
        </is>
      </c>
      <c r="C5" s="6" t="inlineStr">
        <is>
          <t>Detox &amp; Cleansing</t>
        </is>
      </c>
      <c r="D5" s="7" t="n">
        <v>2</v>
      </c>
      <c r="E5" s="6" t="inlineStr">
        <is>
          <t>Đêm (Nights)</t>
        </is>
      </c>
      <c r="F5" s="8" t="n">
        <v>12500000</v>
      </c>
      <c r="G5" s="6" t="inlineStr">
        <is>
          <t>VND/khách/gói</t>
        </is>
      </c>
      <c r="H5" s="6" t="inlineStr">
        <is>
          <t>ACTIVE</t>
        </is>
      </c>
      <c r="I5" s="9" t="inlineStr">
        <is>
          <t>• SPA-MASS-03: Trị liệu dẫn lưu bạch huyết (01 buổi - 75p)
• SPA-BODY-01: Tẩy tế bào chết cà phê &amp; dừa (01 buổi - 45p)
• SPA-HYDRO-02: Ngâm bồn thảo dược Dao Đỏ (01 buổi - 45p)
• SPA-YOGA-02: Hít thở năng lượng &amp; Thiền định (02 buổi - 60p)
[Tổng cộng: 05 buổi]</t>
        </is>
      </c>
      <c r="J5" s="9" t="inlineStr">
        <is>
          <t>Chế độ Detox thanh lọc chuyên sâu:
- 02 bữa sáng thanh lọc (Nước ép cần tây hữu cơ, hạt chia &amp; yến mạch)
- 02 bữa trưa &amp; 02 bữa tối thực dưỡng (Plant-based, 0% đường tinh luyện)
- Trà thảo mộc thải độc phục vụ cả ngày tại Villa</t>
        </is>
      </c>
      <c r="K5" s="9" t="inlineStr">
        <is>
          <t>ĐÃ BAO GỒM toàn bộ các buổi trị liệu và F&amp;B nêu trên. Khách đặt thêm dịch vụ ngoài danh mục hoặc ngoài số buổi quy định sẽ tính là Extra Spa (M3) / Extra F&amp;B (M4) và ghi nợ Folio (M5) qua hợp đồng tích hợp.</t>
        </is>
      </c>
    </row>
    <row r="6" ht="68" customHeight="1">
      <c r="A6" s="10" t="inlineStr">
        <is>
          <t>RET-DETOX-05</t>
        </is>
      </c>
      <c r="B6" s="11" t="inlineStr">
        <is>
          <t>5D4N Tái Tạo Năng Lượng &amp; Thải Độc Sâu (Deep Reset Detox)</t>
        </is>
      </c>
      <c r="C6" s="12" t="inlineStr">
        <is>
          <t>Deep Detoxification</t>
        </is>
      </c>
      <c r="D6" s="13" t="n">
        <v>4</v>
      </c>
      <c r="E6" s="12" t="inlineStr">
        <is>
          <t>Đêm (Nights)</t>
        </is>
      </c>
      <c r="F6" s="14" t="n">
        <v>24800000</v>
      </c>
      <c r="G6" s="12" t="inlineStr">
        <is>
          <t>VND/khách/gói</t>
        </is>
      </c>
      <c r="H6" s="12" t="inlineStr">
        <is>
          <t>ACTIVE</t>
        </is>
      </c>
      <c r="I6" s="15" t="inlineStr">
        <is>
          <t>• SPA-MASS-03: Trị liệu dẫn lưu bạch huyết (02 buổi - 75p)
• SPA-HEAL-03: Bấm huyệt thải độc bụng Chi Nei Tsang (01 buổi - 60p)
• SPA-BODY-02: Ủ khoáng nóng bùn tự nhiên (01 buổi - 60p)
• SPA-HYDRO-01: Thủy trị liệu Vichy Shower (02 buổi - 45p)
• SPA-YOGA-02: Hít thở Pranayama &amp; Thiền định (04 buổi - 60p)
[Tổng cộng: 10 buổi]</t>
        </is>
      </c>
      <c r="J6" s="15" t="inlineStr">
        <is>
          <t>Chế độ Intermittent Fasting &amp; Clean Eating:
- 04 bữa sáng sinh tố thải độc &amp; trái cây chỉ số GI thấp
- 04 bữa trưa dinh dưỡng cao &amp; 04 bữa tối soup thanh nhiệt nhẹ bụng
- Nước ion kiềm &amp; nước khoáng giàu Magie bổ sung hàng ngày
[Tổng cộng: 12 bữa ăn]</t>
        </is>
      </c>
      <c r="K6" s="15" t="inlineStr">
        <is>
          <t>ĐÃ BAO GỒM đúng 10 buổi trị liệu và 12 bữa ăn theo thực đơn M4. Bất kỳ dịch vụ spa thứ 11 trở đi hoặc món gọi thêm ngoài định mức đều tính phí phụ thu vào Folio.</t>
        </is>
      </c>
    </row>
    <row r="7" ht="68" customHeight="1">
      <c r="A7" s="4" t="inlineStr">
        <is>
          <t>RET-SLEEP-03</t>
        </is>
      </c>
      <c r="B7" s="5" t="inlineStr">
        <is>
          <t>3D2N Khôi Phục Giấc Ngủ Sâu (Holistic Deep Sleep)</t>
        </is>
      </c>
      <c r="C7" s="6" t="inlineStr">
        <is>
          <t>Sleep Improvement</t>
        </is>
      </c>
      <c r="D7" s="7" t="n">
        <v>2</v>
      </c>
      <c r="E7" s="6" t="inlineStr">
        <is>
          <t>Đêm (Nights)</t>
        </is>
      </c>
      <c r="F7" s="8" t="n">
        <v>11800000</v>
      </c>
      <c r="G7" s="6" t="inlineStr">
        <is>
          <t>VND/khách/gói</t>
        </is>
      </c>
      <c r="H7" s="6" t="inlineStr">
        <is>
          <t>ACTIVE</t>
        </is>
      </c>
      <c r="I7" s="9" t="inlineStr">
        <is>
          <t>• SPA-HEAL-01: Liệu pháp chuông xoay Tây Tạng (01 buổi - 60p)
• SPA-HEAL-02: Nhỏ dầu ấm trán Shirodhara (01 buổi - 60p)
• SPA-MASS-05: Trị liệu thảo dược cổ truyền (01 buổi - 75p)
• SPA-YOGA-02: Thiền buông thư Yoga Nidra (02 buổi - 60p)
[Tổng cộng: 05 buổi]</t>
        </is>
      </c>
      <c r="J7" s="9" t="inlineStr">
        <is>
          <t>Chế độ kích hoạt Melatonin tự nhiên:
- 02 bữa sáng giàu Tryptophan (Trứng organic luộc lòng đào, hạt óc chó, quả bơ)
- 02 bữa trưa dinh dưỡng cân bằng Thân - Tâm
- 02 bữa tối thanh đạm trước 19:00 kèm sữa hạt sen hạnh nhân ấm trước giờ ngủ</t>
        </is>
      </c>
      <c r="K7" s="9" t="inlineStr">
        <is>
          <t>ĐÃ BAO GỒM 05 liệu trình chăm sóc giấc ngủ và khẩu phần F&amp;B. Trị liệu Massage thêm vào khung giờ khuya nếu có sẽ tính theo biểu giá dịch vụ đơn lẻ tại Sheet 2.</t>
        </is>
      </c>
    </row>
    <row r="8" ht="68" customHeight="1">
      <c r="A8" s="10" t="inlineStr">
        <is>
          <t>RET-STRESS-04</t>
        </is>
      </c>
      <c r="B8" s="11" t="inlineStr">
        <is>
          <t>4D3N Chữa Lành Thân - Tâm &amp; Buông Thư (Mind-Body Harmony)</t>
        </is>
      </c>
      <c r="C8" s="12" t="inlineStr">
        <is>
          <t>Stress Reduction</t>
        </is>
      </c>
      <c r="D8" s="13" t="n">
        <v>3</v>
      </c>
      <c r="E8" s="12" t="inlineStr">
        <is>
          <t>Đêm (Nights)</t>
        </is>
      </c>
      <c r="F8" s="14" t="n">
        <v>17500000</v>
      </c>
      <c r="G8" s="12" t="inlineStr">
        <is>
          <t>VND/khách/gói</t>
        </is>
      </c>
      <c r="H8" s="12" t="inlineStr">
        <is>
          <t>ACTIVE</t>
        </is>
      </c>
      <c r="I8" s="15" t="inlineStr">
        <is>
          <t>• SPA-MASS-01: Massage đá nóng núi lửa Himalaya (01 buổi - 90p)
• SPA-HEAL-01: Liệu pháp chuông xoay Tây Tạng (01 buổi - 60p)
• SPA-FACE-02: Cấp ẩm phục hồi tế bào da (01 buổi - 60p)
• SPA-HYDRO-02: Ngâm bồn thảo dược Dao Đỏ (01 buổi - 45p)
• SPA-YOGA-02: Thiền định hít thở chánh niệm (03 buổi - 60p)
[Tổng cộng: 07 buổi]</t>
        </is>
      </c>
      <c r="J8" s="15" t="inlineStr">
        <is>
          <t>Thực đơn an thần &amp; cân bằng năng lượng:
- 03 bữa sáng tự chọn theo danh mục món ăn năng lượng tích cực
- 03 bữa trưa thực dưỡng bồi bổ khí huyết
- 03 bữa tối 3 món lành mạnh (Set Menu Mind-Body do Bếp trưởng thiết kế)</t>
        </is>
      </c>
      <c r="K8" s="15" t="inlineStr">
        <is>
          <t>ĐÃ BAO GỒM 07 buổi Spa và ẩm thực theo chương trình. Khách có thể đổi liệu trình tương đương thời lượng nếu báo trước 12h, nếu nâng cấp lên gói dài hơn sẽ phụ thu chênh lệch.</t>
        </is>
      </c>
    </row>
    <row r="9" ht="68" customHeight="1">
      <c r="A9" s="4" t="inlineStr">
        <is>
          <t>RET-AGING-04</t>
        </is>
      </c>
      <c r="B9" s="5" t="inlineStr">
        <is>
          <t>4D3N Trẻ Hóa Tế Bào &amp; Sắc Diện Hoàng Gia (Longevity &amp; Radiance)</t>
        </is>
      </c>
      <c r="C9" s="6" t="inlineStr">
        <is>
          <t>Anti-Aging &amp; Cellular Care</t>
        </is>
      </c>
      <c r="D9" s="7" t="n">
        <v>3</v>
      </c>
      <c r="E9" s="6" t="inlineStr">
        <is>
          <t>Đêm (Nights)</t>
        </is>
      </c>
      <c r="F9" s="8" t="n">
        <v>22000000</v>
      </c>
      <c r="G9" s="6" t="inlineStr">
        <is>
          <t>VND/khách/gói</t>
        </is>
      </c>
      <c r="H9" s="6" t="inlineStr">
        <is>
          <t>ACTIVE</t>
        </is>
      </c>
      <c r="I9" s="9" t="inlineStr">
        <is>
          <t>• SPA-FACE-01: Nâng cơ mặt Guasha ngọc thạch (01 buổi - 75p)
• SPA-FACE-03: Trẻ hóa tế bào tảo biển hữu cơ (01 buổi - 75p)
• SPA-MASS-01: Massage đá nóng thư giãn sâu (01 buổi - 90p)
• SPA-BODY-02: Ủ khoáng nóng thảo dược núi cao (01 buổi - 60p)
• SPA-YOGA-01: Yoga chỉnh trục &amp; lưu thông khí huyết (02 buổi - 60p)
[Tổng cộng: 06 buổi]</t>
        </is>
      </c>
      <c r="J9" s="9" t="inlineStr">
        <is>
          <t>Chế độ giàu chất chống oxy hóa (Antioxidant-Rich Diet):
- 03 bữa sáng sinh tố quả mọng (Berries), sữa chua Hy Lạp hữu cơ
- 03 bữa trưa cá hồi Nauy áp chảo rau củ hữu cơ &amp; dầu ô-liu nguyên chất
- 03 bữa tối giàu Collagen sinh học tự nhiên &amp; nước hầm bổ dưỡng</t>
        </is>
      </c>
      <c r="K9" s="9" t="inlineStr">
        <is>
          <t>ĐÃ BAO GỒM 06 liệu trình làm đẹp, trẻ hóa cao cấp và trọn gói F&amp;B. Các dịch vụ thẩm mỹ hoặc chăm sóc móng/tóc phát sinh khác sẽ tính riêng vào Folio.</t>
        </is>
      </c>
    </row>
    <row r="10" ht="68" customHeight="1">
      <c r="A10" s="10" t="inlineStr">
        <is>
          <t>RET-ALIGN-03</t>
        </is>
      </c>
      <c r="B10" s="11" t="inlineStr">
        <is>
          <t>3D2N Nắn Chỉnh Cột Sống &amp; Cổ Vai Gáy (Spine &amp; Posture Care)</t>
        </is>
      </c>
      <c r="C10" s="12" t="inlineStr">
        <is>
          <t>Physical Alignment</t>
        </is>
      </c>
      <c r="D10" s="13" t="n">
        <v>2</v>
      </c>
      <c r="E10" s="12" t="inlineStr">
        <is>
          <t>Đêm (Nights)</t>
        </is>
      </c>
      <c r="F10" s="14" t="n">
        <v>13200000</v>
      </c>
      <c r="G10" s="12" t="inlineStr">
        <is>
          <t>VND/khách/gói</t>
        </is>
      </c>
      <c r="H10" s="12" t="inlineStr">
        <is>
          <t>ACTIVE</t>
        </is>
      </c>
      <c r="I10" s="15" t="inlineStr">
        <is>
          <t>• SPA-MASS-02: Trị liệu cơ sâu bấm huyệt Deep Tissue (01 buổi - 75p)
• SPA-MASS-04: Bấm huyệt y học cổ truyền Việt Nam (01 buổi - 60p)
• SPA-MASS-05: Trị liệu chườm thảo dược ấm (01 buổi - 75p)
• SPA-YOGA-01: Yoga phục hồi chỉnh vẹo cột sống 1-kèm-1 (02 buổi - 60p)
[Tổng cộng: 05 buổi]</t>
        </is>
      </c>
      <c r="J10" s="15" t="inlineStr">
        <is>
          <t>Chế độ dinh dưỡng phục hồi gân cốt &amp; kháng viêm tự nhiên:
- 02 bữa sáng giàu đạm thực vật, Canxi hữu cơ &amp; Vitamin D3
- 02 bữa trưa &amp; 02 bữa tối hỗ trợ tái tạo khớp (Nghệ tươi, gừng ấm, hạt óc chó, súp hầm)</t>
        </is>
      </c>
      <c r="K10" s="15" t="inlineStr">
        <is>
          <t>ĐÃ BAO GỒM 05 liệu trình chuyên sâu chỉnh trục và dinh dưỡng. Nếu khách yêu cầu Kỹ thuật viên cao cấp ngoài phân bổ mặc định sẽ không phát sinh thêm phí trừ khi kéo dài thời gian buổi tập.</t>
        </is>
      </c>
    </row>
    <row r="11" ht="68" customHeight="1">
      <c r="A11" s="4" t="inlineStr">
        <is>
          <t>RET-VITAL-05</t>
        </is>
      </c>
      <c r="B11" s="5" t="inlineStr">
        <is>
          <t>5D4N Quản Lý Vóc Dáng &amp; Đốt Mỡ Tự Nhiên (Vitality Slimming)</t>
        </is>
      </c>
      <c r="C11" s="6" t="inlineStr">
        <is>
          <t>Fitness &amp; Weight Loss</t>
        </is>
      </c>
      <c r="D11" s="7" t="n">
        <v>4</v>
      </c>
      <c r="E11" s="6" t="inlineStr">
        <is>
          <t>Đêm (Nights)</t>
        </is>
      </c>
      <c r="F11" s="8" t="n">
        <v>26500000</v>
      </c>
      <c r="G11" s="6" t="inlineStr">
        <is>
          <t>VND/khách/gói</t>
        </is>
      </c>
      <c r="H11" s="6" t="inlineStr">
        <is>
          <t>ACTIVE</t>
        </is>
      </c>
      <c r="I11" s="9" t="inlineStr">
        <is>
          <t>• SPA-MASS-03: Trị liệu dẫn lưu bạch huyết giảm ứ nước (02 buổi - 75p)
• SPA-BODY-02: Ủ nóng bùn khoáng hóa lỏng mô mỡ (01 buổi - 60p)
• SPA-HYDRO-01: Tắm mưa Vichy Shower giải tỏa cơ bắp (02 buổi - 45p)
• SPA-YOGA-01: Vận động chuyên sâu đốt calo 1-kèm-1 (03 buổi - 60p)
• SPA-YOGA-02: Hít thở thanh lọc điều hòa tạng phủ (02 buổi - 60p)
[Tổng cộng: 10 buổi]</t>
        </is>
      </c>
      <c r="J11" s="9" t="inlineStr">
        <is>
          <t>Chế độ Macro-Balanced thâm hụt Calo khoa học (Calorie Deficit):
- Bếp trưởng F&amp;B (M4) định lượng khẩu phần chuẩn 1.400 - 1.600 kcal/ngày
- 04 bữa sáng ngũ cốc nguyên cám + 04 bữa trưa giàu nạc hữu cơ + 04 bữa tối low-carb
- 100% không đồ chiên rán, không phụ gia công nghiệp</t>
        </is>
      </c>
      <c r="K11" s="9" t="inlineStr">
        <is>
          <t>ĐÃ BAO GỒM 10 buổi tập luyện/trị liệu và 12 bữa ăn khoa học. Các món ăn hoặc đồ uống có đường gọi thêm tại Bar/Villa sẽ bị hệ thống gắn cờ Extra và tính phí riêng.</t>
        </is>
      </c>
    </row>
    <row r="12" ht="68" customHeight="1">
      <c r="A12" s="10" t="inlineStr">
        <is>
          <t>RET-MOM-03</t>
        </is>
      </c>
      <c r="B12" s="11" t="inlineStr">
        <is>
          <t>3D2N Nghỉ Dưỡng Chữa Lành Mẹ Bầu (Gentle Prenatal Care)</t>
        </is>
      </c>
      <c r="C12" s="12" t="inlineStr">
        <is>
          <t>Maternal Wellness</t>
        </is>
      </c>
      <c r="D12" s="13" t="n">
        <v>2</v>
      </c>
      <c r="E12" s="12" t="inlineStr">
        <is>
          <t>Đêm (Nights)</t>
        </is>
      </c>
      <c r="F12" s="14" t="n">
        <v>14000000</v>
      </c>
      <c r="G12" s="12" t="inlineStr">
        <is>
          <t>VND/khách/gói</t>
        </is>
      </c>
      <c r="H12" s="12" t="inlineStr">
        <is>
          <t>ACTIVE</t>
        </is>
      </c>
      <c r="I12" s="15" t="inlineStr">
        <is>
          <t>• SPA-MASS-06: Massage mẹ bầu an yên (02 buổi - 60p)
• SPA-FACE-02: Cấp ẩm phục hồi tế bào da hữu cơ (01 buổi - 60p)
• SPA-HYDRO-02: Ngâm chân nước ấm thảo dược thảo mộc (01 buổi - 45p)
• SPA-YOGA-02: Lớp hít thở &amp; thiền tiền sản nhẹ nhàng (02 buổi - 60p)
[Tổng cộng: 06 buổi]</t>
        </is>
      </c>
      <c r="J12" s="15" t="inlineStr">
        <is>
          <t>Chế độ dinh dưỡng an thai lành tính:
- Thực đơn 3 bữa/ngày giàu Axit Folic, Sắt, Canxi và DHA từ tự nhiên
- 100% nguyên liệu nuôi trồng hữu cơ có chứng nhận, loại bỏ hoàn toàn caffeine và thảo dược gây co bóp tử cung
[Trạng thái: PENDING_CONFIRMATION số bữa chính xác theo check-in/out]</t>
        </is>
      </c>
      <c r="K12" s="15" t="inlineStr">
        <is>
          <t>ĐÃ BAO GỒM toàn bộ 06 buổi chăm sóc mẹ bầu an toàn. Phải qua kiểm tra hồ sơ sức khỏe thai kỳ tại S08/S33 trước khi thực hiện buổi đầu tiên.</t>
        </is>
      </c>
    </row>
    <row r="13">
      <c r="A13" s="16" t="inlineStr">
        <is>
          <t>GIÁ TRUNG BÌNH GÓI RETREAT (AVERAGE RETREAT BASE PRICE)</t>
        </is>
      </c>
      <c r="B13" s="17" t="n"/>
      <c r="C13" s="17" t="n"/>
      <c r="D13" s="17" t="n"/>
      <c r="E13" s="17" t="n"/>
      <c r="F13" s="18">
        <f>AVERAGE(F5:F12)</f>
        <v/>
      </c>
      <c r="G13" s="19" t="n"/>
      <c r="H13" s="19" t="n"/>
      <c r="I13" s="19" t="n"/>
      <c r="J13" s="19" t="n"/>
      <c r="K13" s="19" t="n"/>
    </row>
  </sheetData>
  <mergeCells count="3">
    <mergeCell ref="A2:K2"/>
    <mergeCell ref="A1:K1"/>
    <mergeCell ref="A13:E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3"/>
  <sheetViews>
    <sheetView showGridLines="1" workbookViewId="0">
      <pane ySplit="4" topLeftCell="A5" activePane="bottomLeft" state="frozen"/>
      <selection pane="bottomLeft" activeCell="A1" sqref="A1"/>
    </sheetView>
  </sheetViews>
  <sheetFormatPr baseColWidth="8" defaultRowHeight="15"/>
  <cols>
    <col width="17" customWidth="1" min="1" max="1"/>
    <col width="48" customWidth="1" min="2" max="2"/>
    <col width="22" customWidth="1" min="3" max="3"/>
    <col width="21" customWidth="1" min="4" max="4"/>
    <col width="17" customWidth="1" min="5" max="5"/>
    <col width="21" customWidth="1" min="6" max="6"/>
    <col width="48" customWidth="1" min="7" max="7"/>
    <col width="21" customWidth="1" min="8" max="8"/>
    <col width="48" customWidth="1" min="9" max="9"/>
    <col width="34" customWidth="1" min="10" max="10"/>
    <col width="48" customWidth="1" min="11" max="11"/>
    <col width="48" customWidth="1" min="12" max="12"/>
  </cols>
  <sheetData>
    <row r="1">
      <c r="A1" s="1" t="inlineStr">
        <is>
          <t>DANH MỤC LIỆU TRÌNH SPA &amp; TRỊ LIỆU CHUẨN HÓA (SPA/THERAPY CATALOG - MODULE 3) [VERSION 3]</t>
        </is>
      </c>
    </row>
    <row r="2">
      <c r="A2" s="2" t="inlineStr">
        <is>
          <t>Kiểm đếm chính xác: 18 dịch vụ duy nhất | Chuẩn hóa các trường: treatment_id, duration_minutes, base_price, pricing_rule, treatment_status = 'ACTIVE'</t>
        </is>
      </c>
    </row>
    <row r="3"/>
    <row r="4" ht="34" customHeight="1">
      <c r="A4" s="3" t="inlineStr">
        <is>
          <t>Mã Liệu Trình
(treatment_id)</t>
        </is>
      </c>
      <c r="B4" s="3" t="inlineStr">
        <is>
          <t>Tên Liệu Trình Trị Liệu
(treatment_name)</t>
        </is>
      </c>
      <c r="C4" s="3" t="inlineStr">
        <is>
          <t>Phân Nhóm Dịch Vụ
(category)</t>
        </is>
      </c>
      <c r="D4" s="3" t="inlineStr">
        <is>
          <t>Thời Lượng
(duration_minutes)</t>
        </is>
      </c>
      <c r="E4" s="3" t="inlineStr">
        <is>
          <t>Đơn Vị
Thời Gian</t>
        </is>
      </c>
      <c r="F4" s="3" t="inlineStr">
        <is>
          <t>Giá Cơ Sở Niêm Yết
(base_price - VND)</t>
        </is>
      </c>
      <c r="G4" s="3" t="inlineStr">
        <is>
          <t>Quy Tắc Áp Giá
(pricing_rule)</t>
        </is>
      </c>
      <c r="H4" s="3" t="inlineStr">
        <is>
          <t>Trạng Thái Dịch Vụ
(treatment_status)</t>
        </is>
      </c>
      <c r="I4" s="3" t="inlineStr">
        <is>
          <t>Loại Phòng Tương Thích Baseline
(Compatible room_type)</t>
        </is>
      </c>
      <c r="J4" s="3" t="inlineStr">
        <is>
          <t>Mã Chứng Chỉ KTV Yêu Cầu
(required_qualification_code)</t>
        </is>
      </c>
      <c r="K4" s="3" t="inlineStr">
        <is>
          <t>Chống Chỉ Định Tuyệt Đối
(absolute_contraindications)</t>
        </is>
      </c>
      <c r="L4" s="3" t="inlineStr">
        <is>
          <t>Thận Trọng / Cần Đánh Giá Thêm
(precautions / review)</t>
        </is>
      </c>
    </row>
    <row r="5" ht="48" customHeight="1">
      <c r="A5" s="4" t="inlineStr">
        <is>
          <t>SPA-MASS-01</t>
        </is>
      </c>
      <c r="B5" s="5" t="inlineStr">
        <is>
          <t>Massage Đá Nóng Núi Lửa Himalaya (Himalayan Hot Stone)</t>
        </is>
      </c>
      <c r="C5" s="6" t="inlineStr">
        <is>
          <t>Body Massage</t>
        </is>
      </c>
      <c r="D5" s="7" t="n">
        <v>90</v>
      </c>
      <c r="E5" s="6" t="inlineStr">
        <is>
          <t>Phút (Minutes)</t>
        </is>
      </c>
      <c r="F5" s="8" t="n">
        <v>1650000</v>
      </c>
      <c r="G5" s="9" t="inlineStr">
        <is>
          <t>Giá cơ sở một buổi. Nằm trong số buổi được hưởng của gói Retreat: Không thu phí thêm; Vượt hạn ngạch hoặc gọi thêm: Tính phí phát sinh ghi nợ Folio (M5).</t>
        </is>
      </c>
      <c r="H5" s="6" t="inlineStr">
        <is>
          <t>ACTIVE</t>
        </is>
      </c>
      <c r="I5" s="9" t="inlineStr">
        <is>
          <t>MASSAGE_STANDARD, MASSAGE_VIP (Cần HEATED_STONE_TRAY)</t>
        </is>
      </c>
      <c r="J5" s="4" t="inlineStr">
        <is>
          <t>QUAL_HOT_STONE_MASSAGE</t>
        </is>
      </c>
      <c r="K5" s="9" t="inlineStr">
        <is>
          <t>Sốt cao, vết thương hở, bệnh ngoài da lây nhiễm, viêm tắc tĩnh mạch</t>
        </is>
      </c>
      <c r="L5" s="9" t="inlineStr">
        <is>
          <t>Huyết áp cao (cần chỉnh nhiệt độ đá dưới 45°C), da mỏng nhạy cảm</t>
        </is>
      </c>
    </row>
    <row r="6" ht="48" customHeight="1">
      <c r="A6" s="10" t="inlineStr">
        <is>
          <t>SPA-MASS-02</t>
        </is>
      </c>
      <c r="B6" s="11" t="inlineStr">
        <is>
          <t>Massage Cơ Sâu Bấm Huyệt (Deep Tissue Massage)</t>
        </is>
      </c>
      <c r="C6" s="12" t="inlineStr">
        <is>
          <t>Body Massage</t>
        </is>
      </c>
      <c r="D6" s="13" t="n">
        <v>75</v>
      </c>
      <c r="E6" s="12" t="inlineStr">
        <is>
          <t>Phút (Minutes)</t>
        </is>
      </c>
      <c r="F6" s="14" t="n">
        <v>1450000</v>
      </c>
      <c r="G6" s="15" t="inlineStr">
        <is>
          <t>Giá cơ sở một buổi. Nằm trong số buổi được hưởng của gói Retreat: Không thu phí thêm; Vượt hạn ngạch hoặc gọi thêm: Tính phí phát sinh ghi nợ Folio (M5).</t>
        </is>
      </c>
      <c r="H6" s="12" t="inlineStr">
        <is>
          <t>ACTIVE</t>
        </is>
      </c>
      <c r="I6" s="15" t="inlineStr">
        <is>
          <t>MASSAGE_STANDARD, MASSAGE_VIP (Cần ADJUSTABLE_TREATMENT_BED)</t>
        </is>
      </c>
      <c r="J6" s="10" t="inlineStr">
        <is>
          <t>QUAL_DEEP_TISSUE_TRIGGER_POINT</t>
        </is>
      </c>
      <c r="K6" s="15" t="inlineStr">
        <is>
          <t>Phụ nữ mang thai, loãng xương nặng giai đoạn 3, chấn thương mới dưới 48h</t>
        </is>
      </c>
      <c r="L6" s="15" t="inlineStr">
        <is>
          <t>Thoát vị đĩa đệm (tránh tác động lực ép vuông góc trực tiếp lên đốt sống L4-L5)</t>
        </is>
      </c>
    </row>
    <row r="7" ht="48" customHeight="1">
      <c r="A7" s="4" t="inlineStr">
        <is>
          <t>SPA-MASS-03</t>
        </is>
      </c>
      <c r="B7" s="5" t="inlineStr">
        <is>
          <t>Trị Liệu Dẫn Lưu Bạch Huyết (Lymphatic Drainage)</t>
        </is>
      </c>
      <c r="C7" s="6" t="inlineStr">
        <is>
          <t>Detox Therapy</t>
        </is>
      </c>
      <c r="D7" s="7" t="n">
        <v>75</v>
      </c>
      <c r="E7" s="6" t="inlineStr">
        <is>
          <t>Phút (Minutes)</t>
        </is>
      </c>
      <c r="F7" s="8" t="n">
        <v>1550000</v>
      </c>
      <c r="G7" s="9" t="inlineStr">
        <is>
          <t>Giá cơ sở một buổi. Nằm trong số buổi được hưởng của gói Retreat: Không thu phí thêm; Vượt hạn ngạch hoặc gọi thêm: Tính phí phát sinh ghi nợ Folio (M5).</t>
        </is>
      </c>
      <c r="H7" s="6" t="inlineStr">
        <is>
          <t>ACTIVE</t>
        </is>
      </c>
      <c r="I7" s="9" t="inlineStr">
        <is>
          <t>MASSAGE_STANDARD, MASSAGE_VIP</t>
        </is>
      </c>
      <c r="J7" s="4" t="inlineStr">
        <is>
          <t>QUAL_MANUAL_LYMPHATIC_DRAINAGE</t>
        </is>
      </c>
      <c r="K7" s="9" t="inlineStr">
        <is>
          <t>Suy tim sung huyết cấp, huyết khối tĩnh mạch sâu (DVT), ung thư đang hóa trị</t>
        </is>
      </c>
      <c r="L7" s="9" t="inlineStr">
        <is>
          <t>Hạ huyết áp tư thế, viêm hạch lành tính (cần dùng lực siêu nhẹ &lt; 4kPa)</t>
        </is>
      </c>
    </row>
    <row r="8" ht="48" customHeight="1">
      <c r="A8" s="10" t="inlineStr">
        <is>
          <t>SPA-MASS-04</t>
        </is>
      </c>
      <c r="B8" s="11" t="inlineStr">
        <is>
          <t>Bấm Huyệt Y Học Cổ Truyền (Vietnamese Acupressure)</t>
        </is>
      </c>
      <c r="C8" s="12" t="inlineStr">
        <is>
          <t>Traditional Therapy</t>
        </is>
      </c>
      <c r="D8" s="13" t="n">
        <v>60</v>
      </c>
      <c r="E8" s="12" t="inlineStr">
        <is>
          <t>Phút (Minutes)</t>
        </is>
      </c>
      <c r="F8" s="14" t="n">
        <v>1150000</v>
      </c>
      <c r="G8" s="15" t="inlineStr">
        <is>
          <t>Giá cơ sở một buổi. Nằm trong số buổi được hưởng của gói Retreat: Không thu phí thêm; Vượt hạn ngạch hoặc gọi thêm: Tính phí phát sinh ghi nợ Folio (M5).</t>
        </is>
      </c>
      <c r="H8" s="12" t="inlineStr">
        <is>
          <t>ACTIVE</t>
        </is>
      </c>
      <c r="I8" s="15" t="inlineStr">
        <is>
          <t>MASSAGE_STANDARD, MASSAGE_VIP</t>
        </is>
      </c>
      <c r="J8" s="10" t="inlineStr">
        <is>
          <t>QUAL_TRADITIONAL_ACUPRESSURE</t>
        </is>
      </c>
      <c r="K8" s="15" t="inlineStr">
        <is>
          <t>Gãy xương chưa liền sẹo, vùng da viêm loét hoại tử, xuất huyết dưới da</t>
        </is>
      </c>
      <c r="L8" s="15" t="inlineStr">
        <is>
          <t>Phụ nữ có thai (tuyệt đối không bấm huyệt Hợp Cốc, Tam Âm Giao, Kiên Tỉnh)</t>
        </is>
      </c>
    </row>
    <row r="9" ht="48" customHeight="1">
      <c r="A9" s="4" t="inlineStr">
        <is>
          <t>SPA-MASS-05</t>
        </is>
      </c>
      <c r="B9" s="5" t="inlineStr">
        <is>
          <t>Trị Liệu Thảo Dược Cổ Truyền (Herbal Compress Therapy)</t>
        </is>
      </c>
      <c r="C9" s="6" t="inlineStr">
        <is>
          <t>Herbal Therapy</t>
        </is>
      </c>
      <c r="D9" s="7" t="n">
        <v>75</v>
      </c>
      <c r="E9" s="6" t="inlineStr">
        <is>
          <t>Phút (Minutes)</t>
        </is>
      </c>
      <c r="F9" s="8" t="n">
        <v>1350000</v>
      </c>
      <c r="G9" s="9" t="inlineStr">
        <is>
          <t>Giá cơ sở một buổi. Nằm trong số buổi được hưởng của gói Retreat: Không thu phí thêm; Vượt hạn ngạch hoặc gọi thêm: Tính phí phát sinh ghi nợ Folio (M5).</t>
        </is>
      </c>
      <c r="H9" s="6" t="inlineStr">
        <is>
          <t>ACTIVE</t>
        </is>
      </c>
      <c r="I9" s="9" t="inlineStr">
        <is>
          <t>MASSAGE_STANDARD, MASSAGE_VIP (Cần HERBAL_COMPRESS_STEAMER)</t>
        </is>
      </c>
      <c r="J9" s="4" t="inlineStr">
        <is>
          <t>QUAL_HERBAL_COMPRESS_THERAPY</t>
        </is>
      </c>
      <c r="K9" s="9" t="inlineStr">
        <is>
          <t>Dị ứng cấp tính với tinh dầu gừng, quế, ngải cứu; mất cảm giác nhiệt độ ngoài da</t>
        </is>
      </c>
      <c r="L9" s="9" t="inlineStr">
        <is>
          <t>Da mỏng sau điều trị laser, người tiểu đường mất cảm giác ngoại biên</t>
        </is>
      </c>
    </row>
    <row r="10" ht="48" customHeight="1">
      <c r="A10" s="10" t="inlineStr">
        <is>
          <t>SPA-MASS-06</t>
        </is>
      </c>
      <c r="B10" s="11" t="inlineStr">
        <is>
          <t>Massage Mẹ Bầu An Yên (Nurturing Prenatal Massage)</t>
        </is>
      </c>
      <c r="C10" s="12" t="inlineStr">
        <is>
          <t>Maternal Care</t>
        </is>
      </c>
      <c r="D10" s="13" t="n">
        <v>60</v>
      </c>
      <c r="E10" s="12" t="inlineStr">
        <is>
          <t>Phút (Minutes)</t>
        </is>
      </c>
      <c r="F10" s="14" t="n">
        <v>1250000</v>
      </c>
      <c r="G10" s="15" t="inlineStr">
        <is>
          <t>Giá cơ sở một buổi. Nằm trong số buổi được hưởng của gói Retreat: Không thu phí thêm; Vượt hạn ngạch hoặc gọi thêm: Tính phí phát sinh ghi nợ Folio (M5).</t>
        </is>
      </c>
      <c r="H10" s="12" t="inlineStr">
        <is>
          <t>ACTIVE</t>
        </is>
      </c>
      <c r="I10" s="15" t="inlineStr">
        <is>
          <t>MASSAGE_VIP (Cần PRENATAL_U_PILLOW)</t>
        </is>
      </c>
      <c r="J10" s="10" t="inlineStr">
        <is>
          <t>QUAL_PRENATAL_MASSAGE</t>
        </is>
      </c>
      <c r="K10" s="15" t="inlineStr">
        <is>
          <t>Mang thai tam cá nguyệt đầu (dưới 12 tuần), dọa sảy thai, tiền sản giật</t>
        </is>
      </c>
      <c r="L10" s="20" t="inlineStr">
        <is>
          <t>[PENDING_MEDICAL_REVIEW]: Phù chân nhiều (chỉ xoa vuốt nhẹ hướng tâm, không ấn huyệt mắt cá chân). Cần BS Sản khoa/Chuyên môn y tế xác minh phạm vi thao tác.</t>
        </is>
      </c>
    </row>
    <row r="11" ht="48" customHeight="1">
      <c r="A11" s="4" t="inlineStr">
        <is>
          <t>SPA-HEAL-01</t>
        </is>
      </c>
      <c r="B11" s="5" t="inlineStr">
        <is>
          <t>Liệu Pháp Chuông Xoay Tây Tạng (Tibetan Sound Bath)</t>
        </is>
      </c>
      <c r="C11" s="6" t="inlineStr">
        <is>
          <t>Energy Healing</t>
        </is>
      </c>
      <c r="D11" s="7" t="n">
        <v>60</v>
      </c>
      <c r="E11" s="6" t="inlineStr">
        <is>
          <t>Phút (Minutes)</t>
        </is>
      </c>
      <c r="F11" s="8" t="n">
        <v>1200000</v>
      </c>
      <c r="G11" s="9" t="inlineStr">
        <is>
          <t>Giá cơ sở một buổi. Nằm trong số buổi được hưởng của gói Retreat: Không thu phí thêm; Vượt hạn ngạch hoặc gọi thêm: Tính phí phát sinh ghi nợ Folio (M5).</t>
        </is>
      </c>
      <c r="H11" s="6" t="inlineStr">
        <is>
          <t>ACTIVE</t>
        </is>
      </c>
      <c r="I11" s="9" t="inlineStr">
        <is>
          <t>SOUND_SANCTUARY (Cần ACOUSTICALLY_ISOLATED)</t>
        </is>
      </c>
      <c r="J11" s="4" t="inlineStr">
        <is>
          <t>QUAL_TIBETAN_SOUND_HEALING</t>
        </is>
      </c>
      <c r="K11" s="9" t="inlineStr">
        <is>
          <t>Người gắn máy tạo nhịp tim (Pacemaker), người có tiền sử động kinh do rung động</t>
        </is>
      </c>
      <c r="L11" s="9" t="inlineStr">
        <is>
          <t>Có cấy ghép kim loại lớn trong cơ thể (không đặt chuông gõ trực tiếp lên vị trí đó)</t>
        </is>
      </c>
    </row>
    <row r="12" ht="48" customHeight="1">
      <c r="A12" s="10" t="inlineStr">
        <is>
          <t>SPA-HEAL-02</t>
        </is>
      </c>
      <c r="B12" s="11" t="inlineStr">
        <is>
          <t>Nhỏ Dầu Ấm Luân Xa Trán (Ayurvedic Shirodhara)</t>
        </is>
      </c>
      <c r="C12" s="12" t="inlineStr">
        <is>
          <t>Ayurveda Therapy</t>
        </is>
      </c>
      <c r="D12" s="13" t="n">
        <v>60</v>
      </c>
      <c r="E12" s="12" t="inlineStr">
        <is>
          <t>Phút (Minutes)</t>
        </is>
      </c>
      <c r="F12" s="14" t="n">
        <v>1750000</v>
      </c>
      <c r="G12" s="15" t="inlineStr">
        <is>
          <t>Giá cơ sở một buổi. Nằm trong số buổi được hưởng của gói Retreat: Không thu phí thêm; Vượt hạn ngạch hoặc gọi thêm: Tính phí phát sinh ghi nợ Folio (M5).</t>
        </is>
      </c>
      <c r="H12" s="12" t="inlineStr">
        <is>
          <t>ACTIVE</t>
        </is>
      </c>
      <c r="I12" s="15" t="inlineStr">
        <is>
          <t>AYURVEDA_ROOM (Cần DRONI_TABLE, HANGING_BOWL)</t>
        </is>
      </c>
      <c r="J12" s="10" t="inlineStr">
        <is>
          <t>QUAL_AYURVEDA_SHIRODHARA</t>
        </is>
      </c>
      <c r="K12" s="15" t="inlineStr">
        <is>
          <t>Chấn thương sọ não chưa phục hồi, viêm tai giữa chảy mủ, cảm lạnh sốt cao</t>
        </is>
      </c>
      <c r="L12" s="15" t="inlineStr">
        <is>
          <t>Huyết áp quá thấp, chứng sợ không gian kín khi nhắm mắt (Claustrophobia)</t>
        </is>
      </c>
    </row>
    <row r="13" ht="48" customHeight="1">
      <c r="A13" s="4" t="inlineStr">
        <is>
          <t>SPA-HEAL-03</t>
        </is>
      </c>
      <c r="B13" s="5" t="inlineStr">
        <is>
          <t>Bấm Huyệt Thải Độc Bụng (Chi Nei Tsang Abdominal)</t>
        </is>
      </c>
      <c r="C13" s="6" t="inlineStr">
        <is>
          <t>Holistic Detox</t>
        </is>
      </c>
      <c r="D13" s="7" t="n">
        <v>60</v>
      </c>
      <c r="E13" s="6" t="inlineStr">
        <is>
          <t>Phút (Minutes)</t>
        </is>
      </c>
      <c r="F13" s="8" t="n">
        <v>1300000</v>
      </c>
      <c r="G13" s="9" t="inlineStr">
        <is>
          <t>Giá cơ sở một buổi. Nằm trong số buổi được hưởng của gói Retreat: Không thu phí thêm; Vượt hạn ngạch hoặc gọi thêm: Tính phí phát sinh ghi nợ Folio (M5).</t>
        </is>
      </c>
      <c r="H13" s="6" t="inlineStr">
        <is>
          <t>ACTIVE</t>
        </is>
      </c>
      <c r="I13" s="9" t="inlineStr">
        <is>
          <t>MASSAGE_STANDARD, MASSAGE_VIP</t>
        </is>
      </c>
      <c r="J13" s="4" t="inlineStr">
        <is>
          <t>QUAL_CHI_NEI_TSANG</t>
        </is>
      </c>
      <c r="K13" s="9" t="inlineStr">
        <is>
          <t>Vừa phẫu thuật ổ bụng dưới 6 tháng, phình động mạch chủ bụng, đang mang thai</t>
        </is>
      </c>
      <c r="L13" s="9" t="inlineStr">
        <is>
          <t>Vừa ăn no dưới 2 tiếng (phải đợi tiêu hóa hết), đang đặt vòng tránh thai mới</t>
        </is>
      </c>
    </row>
    <row r="14" ht="48" customHeight="1">
      <c r="A14" s="10" t="inlineStr">
        <is>
          <t>SPA-FACE-01</t>
        </is>
      </c>
      <c r="B14" s="11" t="inlineStr">
        <is>
          <t>Nâng Cơ Mặt Guasha Ngọc Thạch (Jade Guasha Facelift)</t>
        </is>
      </c>
      <c r="C14" s="12" t="inlineStr">
        <is>
          <t>Facial Care</t>
        </is>
      </c>
      <c r="D14" s="13" t="n">
        <v>75</v>
      </c>
      <c r="E14" s="12" t="inlineStr">
        <is>
          <t>Phút (Minutes)</t>
        </is>
      </c>
      <c r="F14" s="14" t="n">
        <v>1400000</v>
      </c>
      <c r="G14" s="15" t="inlineStr">
        <is>
          <t>Giá cơ sở một buổi. Nằm trong số buổi được hưởng của gói Retreat: Không thu phí thêm; Vượt hạn ngạch hoặc gọi thêm: Tính phí phát sinh ghi nợ Folio (M5).</t>
        </is>
      </c>
      <c r="H14" s="12" t="inlineStr">
        <is>
          <t>ACTIVE</t>
        </is>
      </c>
      <c r="I14" s="15" t="inlineStr">
        <is>
          <t>FACIAL_SPECIALIZED</t>
        </is>
      </c>
      <c r="J14" s="10" t="inlineStr">
        <is>
          <t>QUAL_FACIAL_GUASHA</t>
        </is>
      </c>
      <c r="K14" s="15" t="inlineStr">
        <is>
          <t>Mụn bọc viêm mủ diện rộng, da trầy xước lở loét, vừa phẫu thuật thẩm mỹ mặt</t>
        </is>
      </c>
      <c r="L14" s="15" t="inlineStr">
        <is>
          <t>Vừa tiêm Botox/Filler dưới 14 ngày (tránh tác động lực gây dịch chuyển thuốc)</t>
        </is>
      </c>
    </row>
    <row r="15" ht="48" customHeight="1">
      <c r="A15" s="4" t="inlineStr">
        <is>
          <t>SPA-FACE-02</t>
        </is>
      </c>
      <c r="B15" s="5" t="inlineStr">
        <is>
          <t>Cấp Ẩm Phục Hồi Tế Bào Da (Deep Hydration &amp; Cellular Repair)</t>
        </is>
      </c>
      <c r="C15" s="6" t="inlineStr">
        <is>
          <t>Facial Care</t>
        </is>
      </c>
      <c r="D15" s="7" t="n">
        <v>60</v>
      </c>
      <c r="E15" s="6" t="inlineStr">
        <is>
          <t>Phút (Minutes)</t>
        </is>
      </c>
      <c r="F15" s="8" t="n">
        <v>1250000</v>
      </c>
      <c r="G15" s="9" t="inlineStr">
        <is>
          <t>Giá cơ sở một buổi. Nằm trong số buổi được hưởng của gói Retreat: Không thu phí thêm; Vượt hạn ngạch hoặc gọi thêm: Tính phí phát sinh ghi nợ Folio (M5).</t>
        </is>
      </c>
      <c r="H15" s="6" t="inlineStr">
        <is>
          <t>ACTIVE</t>
        </is>
      </c>
      <c r="I15" s="9" t="inlineStr">
        <is>
          <t>FACIAL_SPECIALIZED (Cần ELECTROPHORESIS_DEVICE)</t>
        </is>
      </c>
      <c r="J15" s="4" t="inlineStr">
        <is>
          <t>QUAL_ADVANCED_SKINCARE</t>
        </is>
      </c>
      <c r="K15" s="9" t="inlineStr">
        <is>
          <t>Nhiễm trùng Herpes môi đang bùng phát, dị ứng với mọi loại mỹ phẩm</t>
        </is>
      </c>
      <c r="L15" s="9" t="inlineStr">
        <is>
          <t>Tiền sử dị ứng với chiết xuất thực vật (cần kiểm tra trước tại vùng da cổ tay)</t>
        </is>
      </c>
    </row>
    <row r="16" ht="48" customHeight="1">
      <c r="A16" s="10" t="inlineStr">
        <is>
          <t>SPA-FACE-03</t>
        </is>
      </c>
      <c r="B16" s="11" t="inlineStr">
        <is>
          <t>Trẻ Hóa Tế Bào Tảo Biển Hữu Cơ (Organic Marine Collagen)</t>
        </is>
      </c>
      <c r="C16" s="12" t="inlineStr">
        <is>
          <t>Anti-Aging Facial</t>
        </is>
      </c>
      <c r="D16" s="13" t="n">
        <v>75</v>
      </c>
      <c r="E16" s="12" t="inlineStr">
        <is>
          <t>Phút (Minutes)</t>
        </is>
      </c>
      <c r="F16" s="14" t="n">
        <v>1600000</v>
      </c>
      <c r="G16" s="15" t="inlineStr">
        <is>
          <t>Giá cơ sở một buổi. Nằm trong số buổi được hưởng của gói Retreat: Không thu phí thêm; Vượt hạn ngạch hoặc gọi thêm: Tính phí phát sinh ghi nợ Folio (M5).</t>
        </is>
      </c>
      <c r="H16" s="12" t="inlineStr">
        <is>
          <t>ACTIVE</t>
        </is>
      </c>
      <c r="I16" s="15" t="inlineStr">
        <is>
          <t>FACIAL_SPECIALIZED (Cần OXYGEN_SPRAY_MACHINE)</t>
        </is>
      </c>
      <c r="J16" s="10" t="inlineStr">
        <is>
          <t>QUAL_ADVANCED_FACIAL_AESTHETICS</t>
        </is>
      </c>
      <c r="K16" s="15" t="inlineStr">
        <is>
          <t>Dị ứng nặng với hải sản, i-ốt hoặc tảo biển đỏ/nâu</t>
        </is>
      </c>
      <c r="L16" s="15" t="inlineStr">
        <is>
          <t>Làn da nhạy cảm mỏng manh (giảm nồng độ AHA/Enzyme tẩy tế bào chết ban đầu)</t>
        </is>
      </c>
    </row>
    <row r="17" ht="48" customHeight="1">
      <c r="A17" s="4" t="inlineStr">
        <is>
          <t>SPA-BODY-01</t>
        </is>
      </c>
      <c r="B17" s="5" t="inlineStr">
        <is>
          <t>Tẩy Tế Bào Chết Cà Phê &amp; Dừa (Dak Lak Coffee &amp; Coconut Polish)</t>
        </is>
      </c>
      <c r="C17" s="6" t="inlineStr">
        <is>
          <t>Body Scrub</t>
        </is>
      </c>
      <c r="D17" s="7" t="n">
        <v>45</v>
      </c>
      <c r="E17" s="6" t="inlineStr">
        <is>
          <t>Phút (Minutes)</t>
        </is>
      </c>
      <c r="F17" s="8" t="n">
        <v>850000</v>
      </c>
      <c r="G17" s="9" t="inlineStr">
        <is>
          <t>Giá cơ sở một buổi. Nằm trong số buổi được hưởng của gói Retreat: Không thu phí thêm; Vượt hạn ngạch hoặc gọi thêm: Tính phí phát sinh ghi nợ Folio (M5).</t>
        </is>
      </c>
      <c r="H17" s="6" t="inlineStr">
        <is>
          <t>ACTIVE</t>
        </is>
      </c>
      <c r="I17" s="9" t="inlineStr">
        <is>
          <t>WET_ROOM (Cần STANDING_SHOWER)</t>
        </is>
      </c>
      <c r="J17" s="4" t="inlineStr">
        <is>
          <t>QUAL_BODY_SCRUB_POLISH</t>
        </is>
      </c>
      <c r="K17" s="9" t="inlineStr">
        <is>
          <t>Da đang cháy nắng rát đỏ, vết thương chưa cắt chỉ, chàm vảy nến bùng phát</t>
        </is>
      </c>
      <c r="L17" s="9" t="inlineStr">
        <is>
          <t>Vừa waxing lông toàn thân dưới 24h (tránh kích ứng rát da)</t>
        </is>
      </c>
    </row>
    <row r="18" ht="48" customHeight="1">
      <c r="A18" s="10" t="inlineStr">
        <is>
          <t>SPA-BODY-02</t>
        </is>
      </c>
      <c r="B18" s="11" t="inlineStr">
        <is>
          <t>Ủ Khoáng Nóng Thảo Dược Núi Cao (Warm Mineral Body Wrap)</t>
        </is>
      </c>
      <c r="C18" s="12" t="inlineStr">
        <is>
          <t>Body Wrap</t>
        </is>
      </c>
      <c r="D18" s="13" t="n">
        <v>60</v>
      </c>
      <c r="E18" s="12" t="inlineStr">
        <is>
          <t>Phút (Minutes)</t>
        </is>
      </c>
      <c r="F18" s="14" t="n">
        <v>1100000</v>
      </c>
      <c r="G18" s="15" t="inlineStr">
        <is>
          <t>Giá cơ sở một buổi. Nằm trong số buổi được hưởng của gói Retreat: Không thu phí thêm; Vượt hạn ngạch hoặc gọi thêm: Tính phí phát sinh ghi nợ Folio (M5).</t>
        </is>
      </c>
      <c r="H18" s="12" t="inlineStr">
        <is>
          <t>ACTIVE</t>
        </is>
      </c>
      <c r="I18" s="15" t="inlineStr">
        <is>
          <t>BODY_WRAP_ROOM (Cần HEATED_WRAP_BED)</t>
        </is>
      </c>
      <c r="J18" s="10" t="inlineStr">
        <is>
          <t>QUAL_BODY_WRAP_THERMAL</t>
        </is>
      </c>
      <c r="K18" s="15" t="inlineStr">
        <is>
          <t>Suy giãn tĩnh mạch chi dưới mức độ 3, bệnh tim nặng, sốt cao</t>
        </is>
      </c>
      <c r="L18" s="15" t="inlineStr">
        <is>
          <t>Chứng sợ bị quấn chặt kín (Claustrophobia) - cần nới lỏng vùng ngực</t>
        </is>
      </c>
    </row>
    <row r="19" ht="48" customHeight="1">
      <c r="A19" s="4" t="inlineStr">
        <is>
          <t>SPA-HYDRO-01</t>
        </is>
      </c>
      <c r="B19" s="5" t="inlineStr">
        <is>
          <t>Thủy Trị Liệu Vòi Phun Vichy Shower (Vichy Rain Therapy)</t>
        </is>
      </c>
      <c r="C19" s="6" t="inlineStr">
        <is>
          <t>Hydrotherapy</t>
        </is>
      </c>
      <c r="D19" s="7" t="n">
        <v>45</v>
      </c>
      <c r="E19" s="6" t="inlineStr">
        <is>
          <t>Phút (Minutes)</t>
        </is>
      </c>
      <c r="F19" s="8" t="n">
        <v>950000</v>
      </c>
      <c r="G19" s="9" t="inlineStr">
        <is>
          <t>Giá cơ sở một buổi. Nằm trong số buổi được hưởng của gói Retreat: Không thu phí thêm; Vượt hạn ngạch hoặc gọi thêm: Tính phí phát sinh ghi nợ Folio (M5).</t>
        </is>
      </c>
      <c r="H19" s="6" t="inlineStr">
        <is>
          <t>ACTIVE</t>
        </is>
      </c>
      <c r="I19" s="9" t="inlineStr">
        <is>
          <t>VICHY_SHOWER_ROOM (Cần VICHY_7_NOZZLE_SYSTEM)</t>
        </is>
      </c>
      <c r="J19" s="4" t="inlineStr">
        <is>
          <t>QUAL_HYDROTHERAPY</t>
        </is>
      </c>
      <c r="K19" s="9" t="inlineStr">
        <is>
          <t>Viêm tai giữa chưa lành màng nhĩ, bệnh ngoài da truyền nhiễm, say rượu</t>
        </is>
      </c>
      <c r="L19" s="9" t="inlineStr">
        <is>
          <t>Huyết áp dao động thất thường (cần duy trì nhiệt độ nước ấm ổn định 37°C)</t>
        </is>
      </c>
    </row>
    <row r="20" ht="48" customHeight="1">
      <c r="A20" s="10" t="inlineStr">
        <is>
          <t>SPA-HYDRO-02</t>
        </is>
      </c>
      <c r="B20" s="11" t="inlineStr">
        <is>
          <t>Ngâm Bồn Khoáng Thảo Dược Dao Đỏ (Red Dao Herbal Bath)</t>
        </is>
      </c>
      <c r="C20" s="12" t="inlineStr">
        <is>
          <t>Hydrotherapy</t>
        </is>
      </c>
      <c r="D20" s="13" t="n">
        <v>45</v>
      </c>
      <c r="E20" s="12" t="inlineStr">
        <is>
          <t>Phút (Minutes)</t>
        </is>
      </c>
      <c r="F20" s="14" t="n">
        <v>800000</v>
      </c>
      <c r="G20" s="15" t="inlineStr">
        <is>
          <t>Giá cơ sở một buổi. Nằm trong số buổi được hưởng của gói Retreat: Không thu phí thêm; Vượt hạn ngạch hoặc gọi thêm: Tính phí phát sinh ghi nợ Folio (M5).</t>
        </is>
      </c>
      <c r="H20" s="12" t="inlineStr">
        <is>
          <t>ACTIVE</t>
        </is>
      </c>
      <c r="I20" s="15" t="inlineStr">
        <is>
          <t>JACUZZI_ROOM (Cần PRIVATE_JACUZZI)</t>
        </is>
      </c>
      <c r="J20" s="10" t="inlineStr">
        <is>
          <t>QUAL_HYDROTHERAPY</t>
        </is>
      </c>
      <c r="K20" s="15" t="inlineStr">
        <is>
          <t>Phụ nữ đang trong chu kỳ kinh nguyệt, vết thương nhiễm trùng hở</t>
        </is>
      </c>
      <c r="L20" s="15" t="inlineStr">
        <is>
          <t>Huyết áp thấp (giới hạn thời gian ngâm bồn không quá 20 phút liên tục)</t>
        </is>
      </c>
    </row>
    <row r="21" ht="48" customHeight="1">
      <c r="A21" s="4" t="inlineStr">
        <is>
          <t>SPA-YOGA-01</t>
        </is>
      </c>
      <c r="B21" s="5" t="inlineStr">
        <is>
          <t>Yoga Trị Liệu Chỉnh Trục Cột Sống 1-1 (Therapeutic Spine Yoga)</t>
        </is>
      </c>
      <c r="C21" s="6" t="inlineStr">
        <is>
          <t>Yoga &amp; Movement</t>
        </is>
      </c>
      <c r="D21" s="7" t="n">
        <v>60</v>
      </c>
      <c r="E21" s="6" t="inlineStr">
        <is>
          <t>Phút (Minutes)</t>
        </is>
      </c>
      <c r="F21" s="8" t="n">
        <v>900000</v>
      </c>
      <c r="G21" s="9" t="inlineStr">
        <is>
          <t>Giá cơ sở một buổi. Nằm trong số buổi được hưởng của gói Retreat: Không thu phí thêm; Vượt hạn ngạch hoặc gọi thêm: Tính phí phát sinh ghi nợ Folio (M5).</t>
        </is>
      </c>
      <c r="H21" s="6" t="inlineStr">
        <is>
          <t>ACTIVE</t>
        </is>
      </c>
      <c r="I21" s="9" t="inlineStr">
        <is>
          <t>YOGA_STUDIO</t>
        </is>
      </c>
      <c r="J21" s="4" t="inlineStr">
        <is>
          <t>QUAL_YOGA_THERAPY_RYT200_500</t>
        </is>
      </c>
      <c r="K21" s="9" t="inlineStr">
        <is>
          <t>Thoát vị đĩa đệm thể cấp tính đang chèn ép tủy đau liệt, gãy xương chưa liền</t>
        </is>
      </c>
      <c r="L21" s="9" t="inlineStr">
        <is>
          <t>Huyết áp cao không kiểm soát (tránh tư thế dốc ngược đầu Downward Dog quá lâu)</t>
        </is>
      </c>
    </row>
    <row r="22" ht="48" customHeight="1">
      <c r="A22" s="10" t="inlineStr">
        <is>
          <t>SPA-YOGA-02</t>
        </is>
      </c>
      <c r="B22" s="11" t="inlineStr">
        <is>
          <t>Hít Thở Năng Lượng &amp; Thiền Định (Pranayama &amp; Meditation)</t>
        </is>
      </c>
      <c r="C22" s="12" t="inlineStr">
        <is>
          <t>Mindfulness</t>
        </is>
      </c>
      <c r="D22" s="13" t="n">
        <v>60</v>
      </c>
      <c r="E22" s="12" t="inlineStr">
        <is>
          <t>Phút (Minutes)</t>
        </is>
      </c>
      <c r="F22" s="14" t="n">
        <v>850000</v>
      </c>
      <c r="G22" s="15" t="inlineStr">
        <is>
          <t>Giá cơ sở một buổi. Nằm trong số buổi được hưởng của gói Retreat: Không thu phí thêm; Vượt hạn ngạch hoặc gọi thêm: Tính phí phát sinh ghi nợ Folio (M5).</t>
        </is>
      </c>
      <c r="H22" s="12" t="inlineStr">
        <is>
          <t>ACTIVE</t>
        </is>
      </c>
      <c r="I22" s="15" t="inlineStr">
        <is>
          <t>MEDITATION_ROOM (Cần QUIET_MEDITATION_SPACE)</t>
        </is>
      </c>
      <c r="J22" s="10" t="inlineStr">
        <is>
          <t>QUAL_MINDFULNESS_COACH</t>
        </is>
      </c>
      <c r="K22" s="15" t="inlineStr">
        <is>
          <t>Không có chống chỉ định tuyệt đối</t>
        </is>
      </c>
      <c r="L22" s="15" t="inlineStr">
        <is>
          <t>Khách có tiền sử hen suyễn cấp (tránh kỹ thuật thở mạnh Kapalabhati kéo dài)</t>
        </is>
      </c>
    </row>
    <row r="23">
      <c r="A23" s="16" t="inlineStr">
        <is>
          <t>GIÁ TRUNG BÌNH DỊCH VỤ SPA NIÊM YẾT (AVERAGE SPA BASE PRICE)</t>
        </is>
      </c>
      <c r="B23" s="17" t="n"/>
      <c r="C23" s="17" t="n"/>
      <c r="D23" s="17" t="n"/>
      <c r="E23" s="17" t="n"/>
      <c r="F23" s="18">
        <f>AVERAGE(F5:F22)</f>
        <v/>
      </c>
      <c r="G23" s="19" t="n"/>
      <c r="H23" s="19" t="n"/>
      <c r="I23" s="19" t="n"/>
      <c r="J23" s="19" t="n"/>
      <c r="K23" s="19" t="n"/>
      <c r="L23" s="19" t="n"/>
    </row>
  </sheetData>
  <mergeCells count="3">
    <mergeCell ref="A2:L2"/>
    <mergeCell ref="A23:E23"/>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showGridLines="1" workbookViewId="0">
      <pane ySplit="4" topLeftCell="A5" activePane="bottomLeft" state="frozen"/>
      <selection pane="bottomLeft" activeCell="A1" sqref="A1"/>
    </sheetView>
  </sheetViews>
  <sheetFormatPr baseColWidth="8" defaultRowHeight="15"/>
  <cols>
    <col width="31" customWidth="1" min="1" max="1"/>
    <col width="36" customWidth="1" min="2" max="2"/>
    <col width="48" customWidth="1" min="3" max="3"/>
    <col width="48" customWidth="1" min="4" max="4"/>
    <col width="48" customWidth="1" min="5" max="5"/>
    <col width="41" customWidth="1" min="6" max="6"/>
    <col width="48" customWidth="1" min="7" max="7"/>
  </cols>
  <sheetData>
    <row r="1">
      <c r="A1" s="1" t="inlineStr">
        <is>
          <t>BẢNG CẤU HÌNH HỆ THỐNG, QUY TẮC NGHIỆP VỤ &amp; TÌNH TRẠNG QUYẾT ĐỊNH [VERSION 3]</t>
        </is>
      </c>
    </row>
    <row r="2">
      <c r="A2" s="2" t="inlineStr">
        <is>
          <t>Phân biệt tuyệt đối 4 trạng thái: [1. Seed Database Master Data] | [2. Business Rules Đã Chốt] | [3. Integration Open Items] | [4. Change Log]</t>
        </is>
      </c>
    </row>
    <row r="3"/>
    <row r="4" ht="34" customHeight="1">
      <c r="A4" s="3" t="inlineStr">
        <is>
          <t>Nhóm Phân Loại
(Category)</t>
        </is>
      </c>
      <c r="B4" s="3" t="inlineStr">
        <is>
          <t>Thực Thể / Quy Tắc / Open Item
(Entity / Rule ID / OI-ID)</t>
        </is>
      </c>
      <c r="C4" s="3" t="inlineStr">
        <is>
          <t>Đặc Tả Kỹ Thuật &amp; Quyết Định Thiết Kế
(Technical Constraint / Specification)</t>
        </is>
      </c>
      <c r="D4" s="3" t="inlineStr">
        <is>
          <t>Cơ Chế Thực Thi Cốt Lõi
(Execution Mechanism / Architecture)</t>
        </is>
      </c>
      <c r="E4" s="3" t="inlineStr">
        <is>
          <t>Phân Hệ &amp; Màn Hình
(Module &amp; Screens)</t>
        </is>
      </c>
      <c r="F4" s="3" t="inlineStr">
        <is>
          <t>Trạng Thái Quyết Định
(Decision Status)</t>
        </is>
      </c>
      <c r="G4" s="3" t="inlineStr">
        <is>
          <t>Hành Động Cần Làm &amp; Lưu Ý Triển Khai
(Action Required / Notes)</t>
        </is>
      </c>
    </row>
    <row r="5" ht="58" customHeight="1">
      <c r="A5" s="6" t="inlineStr">
        <is>
          <t>1. Seed Database Master Data</t>
        </is>
      </c>
      <c r="B5" s="4" t="inlineStr">
        <is>
          <t>RETREAT_PACKAGE
(M2 Master Data)</t>
        </is>
      </c>
      <c r="C5" s="9" t="inlineStr">
        <is>
          <t>Các trường: package_id, package_name, wellness_goal, duration_nights, base_price, base_price_unit = 'VND/PERSON/PACKAGE', package_status = 'ACTIVE'.</t>
        </is>
      </c>
      <c r="D5" s="9" t="inlineStr">
        <is>
          <t>Lưu trữ đúng 8 gói Retreat chính thức tại Sheet 1. Giá base_price là giá gốc tính cho một khách trên một gói.</t>
        </is>
      </c>
      <c r="E5" s="6" t="inlineStr">
        <is>
          <t>Module 2
S12, S13, S14</t>
        </is>
      </c>
      <c r="F5" s="21" t="inlineStr">
        <is>
          <t>APPROVED_READY_FOR_SEED</t>
        </is>
      </c>
      <c r="G5" s="9" t="inlineStr">
        <is>
          <t>Đã có đầy đủ dữ liệu chuẩn hóa, sẵn sàng nhập vào bảng RETREAT_PACKAGE.</t>
        </is>
      </c>
    </row>
    <row r="6" ht="58" customHeight="1">
      <c r="A6" s="12" t="inlineStr">
        <is>
          <t>1. Seed Database Master Data</t>
        </is>
      </c>
      <c r="B6" s="10" t="inlineStr">
        <is>
          <t>SPA_TREATMENT
(M3 Master Data)</t>
        </is>
      </c>
      <c r="C6" s="15" t="inlineStr">
        <is>
          <t>Các trường: treatment_id, treatment_name, category, duration_minutes, base_price, pricing_rule, treatment_status = 'ACTIVE'.</t>
        </is>
      </c>
      <c r="D6" s="15" t="inlineStr">
        <is>
          <t>Lưu trữ đúng 18 liệu trình duy nhất tại Sheet 2. Giá base_price không được âm (Rule 30). Áp dụng quy tắc giá cơ sở và ranh giới tính thêm.</t>
        </is>
      </c>
      <c r="E6" s="12" t="inlineStr">
        <is>
          <t>Module 3
S12, S25</t>
        </is>
      </c>
      <c r="F6" s="21" t="inlineStr">
        <is>
          <t>APPROVED_READY_FOR_SEED</t>
        </is>
      </c>
      <c r="G6" s="15" t="inlineStr">
        <is>
          <t>Đã có đầy đủ 18 bản ghi chuẩn hóa, sẵn sàng nhập vào bảng SPA_TREATMENT.</t>
        </is>
      </c>
    </row>
    <row r="7" ht="58" customHeight="1">
      <c r="A7" s="6" t="inlineStr">
        <is>
          <t>1. Seed Database Master Data</t>
        </is>
      </c>
      <c r="B7" s="4" t="inlineStr">
        <is>
          <t>TREATMENT_ROOM &amp;
ROOM_COMPATIBILITY</t>
        </is>
      </c>
      <c r="C7" s="9" t="inlineStr">
        <is>
          <t>11 room_type chuẩn hóa tại Sheet 6. Mapping 18 dịch vụ với loại phòng và thiết bị bắt buộc.</t>
        </is>
      </c>
      <c r="D7" s="9" t="inlineStr">
        <is>
          <t>Thiết kế cấu trúc và bảng mapping đã hoàn tất ở mức baseline kiến trúc hệ thống.</t>
        </is>
      </c>
      <c r="E7" s="6" t="inlineStr">
        <is>
          <t>Module 3
S12, S26</t>
        </is>
      </c>
      <c r="F7" s="22" t="inlineStr">
        <is>
          <t>DESIGN_APPROVED_DATA_PENDING</t>
        </is>
      </c>
      <c r="G7" s="9" t="inlineStr">
        <is>
          <t>Thiết kế mapping đã chốt, nhưng resort chưa bàn giao danh sách phòng thực tế (PENDING_REAL_INVENTORY). Chưa thể seed bảng TREATMENT_ROOM.</t>
        </is>
      </c>
    </row>
    <row r="8" ht="58" customHeight="1">
      <c r="A8" s="12" t="inlineStr">
        <is>
          <t>1. Seed Database Master Data</t>
        </is>
      </c>
      <c r="B8" s="10" t="inlineStr">
        <is>
          <t>THERAPIST &amp;
QUALIFICATION</t>
        </is>
      </c>
      <c r="C8" s="15" t="inlineStr">
        <is>
          <t>18 mã chứng chỉ nội bộ chuẩn hóa tại Sheet 7 (`QUAL_...`). Mapping 1-1 dịch vụ với chứng chỉ yêu cầu.</t>
        </is>
      </c>
      <c r="D8" s="15" t="inlineStr">
        <is>
          <t>Hệ thống dùng mã chứng chỉ nội bộ để đối chiếu năng lực khi tự động ghép lịch (Rule 11).</t>
        </is>
      </c>
      <c r="E8" s="12" t="inlineStr">
        <is>
          <t>Module 3
S12, S31</t>
        </is>
      </c>
      <c r="F8" s="22" t="inlineStr">
        <is>
          <t>DESIGN_APPROVED_MAPPING_PENDING</t>
        </is>
      </c>
      <c r="G8" s="15" t="inlineStr">
        <is>
          <t>Danh mục mã chứng chỉ yêu cầu đã chốt. Chưa có danh sách nhân sự và chứng chỉ thực tế của KTV. Bảng THERAPIST_QUALIFICATION để trống chờ dữ liệu thực.</t>
        </is>
      </c>
    </row>
    <row r="9" ht="58" customHeight="1">
      <c r="A9" s="6" t="inlineStr">
        <is>
          <t>2. Business Rules Đã Chốt</t>
        </is>
      </c>
      <c r="B9" s="4" t="inlineStr">
        <is>
          <t>GB-M3-05 &amp; Rule 14
(2D Atomic Lock)</t>
        </is>
      </c>
      <c r="C9" s="9" t="inlineStr">
        <is>
          <t>Hệ thống tạo ứng viên gồm Time Slot + Qualified Therapist/Yoga Instructor + Compatible Treatment Room. Khi khách xác nhận, hệ thống revalidate lịch và điều kiện tài nguyên.</t>
        </is>
      </c>
      <c r="D9" s="9" t="inlineStr">
        <is>
          <t>Trong cùng một SQL Server transaction sử dụng isolation level SERIALIZABLE, hệ thống kiểm tra xung đột thời gian (khoảng thời gian chồng lấn), giữ Therapist và Treatment Room, sau đó tạo SPA_SESSION. Chỉ commit khi cả hai tài nguyên đều được giữ thành công. Nếu bất kỳ tài nguyên nào không khả dụng, rollback toàn bộ transaction. Không xác nhận booking một phần. (Baseline M3 không dùng Redis lock).</t>
        </is>
      </c>
      <c r="E9" s="6" t="inlineStr">
        <is>
          <t>Module 3
S26, S27, S28</t>
        </is>
      </c>
      <c r="F9" s="22" t="inlineStr">
        <is>
          <t>DESIGN_LOCKED_CONCURRENCY_TEST_PENDING</t>
        </is>
      </c>
      <c r="G9" s="9" t="inlineStr">
        <is>
          <t>Cơ chế thiết kế đã chốt cứng. Cần thực hiện bài kiểm thử tải đồng thời (concurrency testing) trên môi trường Staging trước khi go-live.</t>
        </is>
      </c>
    </row>
    <row r="10" ht="58" customHeight="1">
      <c r="A10" s="12" t="inlineStr">
        <is>
          <t>2. Business Rules Đã Chốt</t>
        </is>
      </c>
      <c r="B10" s="10" t="inlineStr">
        <is>
          <t>GB-M3-12 &amp; Rule 4
(Data Minimization M3)</t>
        </is>
      </c>
      <c r="C10" s="15" t="inlineStr">
        <is>
          <t>Màn hình Kỹ thuật viên (S33) CHỈ nhận Treatment Safety Health Profile cần thiết để đánh giá chống chỉ định và thực hiện trị liệu an toàn.</t>
        </is>
      </c>
      <c r="D10" s="15" t="inlineStr">
        <is>
          <t>M1 sở hữu và quản lý hồ sơ sức khỏe. Hệ thống chỉ chiếu (project) thông tin an toàn sang S33. Therapist không được xem hồ sơ sức khỏe toàn diện, dữ liệu thanh toán, cư trú, CCCD hay tài khoản. Nếu dữ liệu an toàn chưa đủ để đánh giá, M3 tạm dừng xác nhận và yêu cầu kiểm tra dữ liệu.</t>
        </is>
      </c>
      <c r="E10" s="12" t="inlineStr">
        <is>
          <t>Module 1 -&gt; Module 3
S08 -&gt; S33</t>
        </is>
      </c>
      <c r="F10" s="21" t="inlineStr">
        <is>
          <t>APPROVED</t>
        </is>
      </c>
      <c r="G10" s="15" t="inlineStr">
        <is>
          <t>Đã duyệt. Backend tạo view/DTO chuyên biệt `TreatmentSafetyProfileDTO` cho màn hình S33.</t>
        </is>
      </c>
    </row>
    <row r="11" ht="58" customHeight="1">
      <c r="A11" s="6" t="inlineStr">
        <is>
          <t>2. Business Rules Đã Chốt</t>
        </is>
      </c>
      <c r="B11" s="4" t="inlineStr">
        <is>
          <t>Rule 18 &amp; Data Minimization
(Data Minimization M4)</t>
        </is>
      </c>
      <c r="C11" s="9" t="inlineStr">
        <is>
          <t>Nhà bếp / Đầu bếp (S40) CHỈ nhận thông tin dị ứng món ăn và yêu cầu ăn kiêng cần thiết để chuẩn bị món.</t>
        </is>
      </c>
      <c r="D11" s="9" t="inlineStr">
        <is>
          <t>M4 tự động lọc thực đơn dựa trên dị ứng và dietary requirements. Không chuyển hồ sơ bệnh lý tổng quát hay dữ liệu cá nhân cho nhân viên bếp.</t>
        </is>
      </c>
      <c r="E11" s="6" t="inlineStr">
        <is>
          <t>Module 1 -&gt; Module 4
S08 -&gt; S40</t>
        </is>
      </c>
      <c r="F11" s="21" t="inlineStr">
        <is>
          <t>APPROVED</t>
        </is>
      </c>
      <c r="G11" s="9" t="inlineStr">
        <is>
          <t>Đã duyệt. Backend tạo view/DTO `KitchenDietaryAlertDTO` phục vụ hiển thị màn hình S40.</t>
        </is>
      </c>
    </row>
    <row r="12" ht="58" customHeight="1">
      <c r="A12" s="12" t="inlineStr">
        <is>
          <t>2. Business Rules Đã Chốt</t>
        </is>
      </c>
      <c r="B12" s="10" t="inlineStr">
        <is>
          <t>Rule 21
(No Duplicate Charge)</t>
        </is>
      </c>
      <c r="C12" s="15" t="inlineStr">
        <is>
          <t>Hệ thống xác định quyền lợi theo từng gói, mã dịch vụ và số buổi được hưởng (chi tiết tại Sheet 4).</t>
        </is>
      </c>
      <c r="D12" s="15" t="inlineStr">
        <is>
          <t>Các buổi nằm trong giới hạn quyền lợi không bị tính phí thêm. Khi quyền lợi đã hết hoặc dịch vụ không thuộc gói, hệ thống áp dụng chính sách phát sinh. M3/M4 không được tự ý ghi trực tiếp vào bảng Folio của M5; khoản phát sinh phải đi qua contract tích hợp đã được thống nhất và có cơ chế chống ghi nhận trùng.</t>
        </is>
      </c>
      <c r="E12" s="12" t="inlineStr">
        <is>
          <t>Module 2 -&gt; M3/M4 -&gt; M5
S30, S36 -&gt; S41</t>
        </is>
      </c>
      <c r="F12" s="21" t="inlineStr">
        <is>
          <t>APPROVED</t>
        </is>
      </c>
      <c r="G12" s="15" t="inlineStr">
        <is>
          <t>Đã duyệt nguyên tắc nghiệp vụ. Kiểm tra hạn ngạch gói trước khi quyết định gọi service tính phí sang M5.</t>
        </is>
      </c>
    </row>
    <row r="13" ht="58" customHeight="1">
      <c r="A13" s="6" t="inlineStr">
        <is>
          <t>2. Business Rules Đã Chốt</t>
        </is>
      </c>
      <c r="B13" s="4" t="inlineStr">
        <is>
          <t>OI-08
(Session Status Lifecycle)</t>
        </is>
      </c>
      <c r="C13" s="9" t="inlineStr">
        <is>
          <t>Không thêm IN_PROGRESS vào enum trạng thái phiên trị liệu được lưu trong database ở baseline hiện tại.</t>
        </is>
      </c>
      <c r="D13" s="9" t="inlineStr">
        <is>
          <t>Các trạng thái hợp lệ trong database: SCHEDULED, CUSTOMER_CONFIRMED, RESCHEDULING, CANCELLED, COMPLETED, NO_SHOW. Nút 'Bắt đầu liệu trình' trên giao diện S33 là hành động UI nội bộ, không tạo trạng thái persisted mới. Therapist ghi nhận kết quả cuối cùng là COMPLETED hoặc NO_SHOW.</t>
        </is>
      </c>
      <c r="E13" s="6" t="inlineStr">
        <is>
          <t>Module 3
S33</t>
        </is>
      </c>
      <c r="F13" s="21" t="inlineStr">
        <is>
          <t>APPROVED</t>
        </is>
      </c>
      <c r="G13" s="9" t="inlineStr">
        <is>
          <t>Đã chốt quyết định kỹ thuật: Enum SPA_SESSION_STATUS giữ nguyên theo SRS, không persist IN_PROGRESS.</t>
        </is>
      </c>
    </row>
    <row r="14" ht="58" customHeight="1">
      <c r="A14" s="12" t="inlineStr">
        <is>
          <t>3. Integration Open Items</t>
        </is>
      </c>
      <c r="B14" s="10" t="inlineStr">
        <is>
          <t>OI-01: Cross-Module Contract
(M3/M4 -&gt; M5 Folio Posting)</t>
        </is>
      </c>
      <c r="C14" s="15" t="inlineStr">
        <is>
          <t>Khoản phí phát sinh từ Extra Spa (M3) và Extra A-la-carte (M4) được chuyển sang Folio của khách tại M5.</t>
        </is>
      </c>
      <c r="D14" s="15" t="inlineStr">
        <is>
          <t>M3/M4 chỉ quản lý phiên trị liệu/đơn món và xác định tính chất chargeable. M3/M4 KHÔNG trực tiếp ghi/sửa bảng FOLIO_ITEM của M5. Giao tiếp phải qua ranh giới `BillingPort` với Idempotency Key (gắn với `spa_session_id` hoặc `meal_order_id` + `charge_type`). EXTRA_SPA và EXTRA_FNB chỉ là category đề xuất.</t>
        </is>
      </c>
      <c r="E14" s="12" t="inlineStr">
        <is>
          <t>Module 3, Module 4 -&gt; Module 5
S30, S36 -&gt; S41</t>
        </is>
      </c>
      <c r="F14" s="22" t="inlineStr">
        <is>
          <t>PENDING_CROSS_MODULE_CONTRACT</t>
        </is>
      </c>
      <c r="G14" s="15" t="inlineStr">
        <is>
          <t>Đầu việc cần thống nhất giữa 3 module: (1) Payload API/Event; (2) Retry &amp; Idempotency Key; (3) Đối soát lỗi; (4) Hủy/điều chỉnh phí.</t>
        </is>
      </c>
    </row>
    <row r="15" ht="58" customHeight="1">
      <c r="A15" s="6" t="inlineStr">
        <is>
          <t>3. Integration Open Items</t>
        </is>
      </c>
      <c r="B15" s="4" t="inlineStr">
        <is>
          <t>OI-05: Phương Thức Thanh Toán
(Supported Payment Methods M5)</t>
        </is>
      </c>
      <c r="C15" s="9" t="inlineStr">
        <is>
          <t>Phạm vi các phương thức thanh toán được hỗ trợ tại màn hình quyết toán hóa đơn S42.</t>
        </is>
      </c>
      <c r="D15" s="9" t="inlineStr">
        <is>
          <t>Tài liệu SRS chốt chính thức cổng thanh toán trực tuyến là VNPay (với kiểm tra chữ ký điện tử HMAC-SHA512). Tuy nhiên các kịch bản thực tế có đề cập đến Tiền mặt (CASH) và máy POS tại quầy lễ tân.</t>
        </is>
      </c>
      <c r="E15" s="6" t="inlineStr">
        <is>
          <t>Module 5
S42, S43</t>
        </is>
      </c>
      <c r="F15" s="22" t="inlineStr">
        <is>
          <t>PENDING_CONFIRMATION</t>
        </is>
      </c>
      <c r="G15" s="9" t="inlineStr">
        <is>
          <t>Cần BA và Tech Lead họp chốt phạm vi chính thức: Chỉ hỗ trợ VNPay hay hỗ trợ đa kênh ['VNPAY', 'CASH', 'POS'] và cách mô hình hóa VNPay QR.</t>
        </is>
      </c>
    </row>
    <row r="16"/>
    <row r="17"/>
    <row r="18" ht="26" customHeight="1">
      <c r="A18" s="23" t="inlineStr">
        <is>
          <t>NHẬT KÝ THAY ĐỔI &amp; CÁC HẠNG MỤC CHỜ XÁC NHẬN (CHANGE LOG &amp; PENDING ITEMS)</t>
        </is>
      </c>
    </row>
    <row r="19" ht="34" customHeight="1">
      <c r="A19" s="3" t="inlineStr">
        <is>
          <t>Mã Ghi Nhận
(item_id)</t>
        </is>
      </c>
      <c r="B19" s="3" t="inlineStr">
        <is>
          <t>Tên Sheet Liên Quan
(sheet_name)</t>
        </is>
      </c>
      <c r="C19" s="3" t="inlineStr">
        <is>
          <t>Mã Bản Ghi
(record_id)</t>
        </is>
      </c>
      <c r="D19" s="3" t="inlineStr">
        <is>
          <t>Mô Tả Thay Đổi Thực Tế
(change_description)</t>
        </is>
      </c>
      <c r="E19" s="3" t="inlineStr">
        <is>
          <t>Lý Do / Căn Cứ Thực Hiện
(reason)</t>
        </is>
      </c>
      <c r="F19" s="3" t="inlineStr">
        <is>
          <t>Trạng Thái Quyết Định
(status)</t>
        </is>
      </c>
      <c r="G19" s="3" t="inlineStr">
        <is>
          <t>Module Phụ Trách &amp; Hành Động
(responsible_module &amp; next_action)</t>
        </is>
      </c>
    </row>
    <row r="20" ht="42" customHeight="1">
      <c r="A20" s="4" t="inlineStr">
        <is>
          <t>CL-01</t>
        </is>
      </c>
      <c r="B20" s="6" t="inlineStr">
        <is>
          <t>1. Retreat Packages (M2)</t>
        </is>
      </c>
      <c r="C20" s="4" t="inlineStr">
        <is>
          <t>8 Gói Retreat</t>
        </is>
      </c>
      <c r="D20" s="9" t="inlineStr">
        <is>
          <t>Thêm cột package_status = 'ACTIVE', chuẩn hóa đơn vị giá 'VND/khách/gói' (VND/PERSON/PACKAGE).</t>
        </is>
      </c>
      <c r="E20" s="9" t="inlineStr">
        <is>
          <t>Yêu cầu database mapping và thống nhất đơn vị tính giá theo người/gói.</t>
        </is>
      </c>
      <c r="F20" s="24" t="inlineStr">
        <is>
          <t>APPROVED</t>
        </is>
      </c>
      <c r="G20" s="6" t="inlineStr">
        <is>
          <t>M2: Đã sẵn sàng seed database.</t>
        </is>
      </c>
    </row>
    <row r="21" ht="42" customHeight="1">
      <c r="A21" s="10" t="inlineStr">
        <is>
          <t>CL-02</t>
        </is>
      </c>
      <c r="B21" s="12" t="inlineStr">
        <is>
          <t>1. Retreat Packages (M2)</t>
        </is>
      </c>
      <c r="C21" s="10" t="inlineStr">
        <is>
          <t>RET-DETOX-05</t>
        </is>
      </c>
      <c r="D21" s="15" t="inlineStr">
        <is>
          <t>Bảo toàn số liệu: 10 buổi trị liệu (2+1+1+2+4) và 12 bữa ăn (4+4+4).</t>
        </is>
      </c>
      <c r="E21" s="15" t="inlineStr">
        <is>
          <t>Đối chiếu chính xác với quyền lợi gốc đã xác định.</t>
        </is>
      </c>
      <c r="F21" s="24" t="inlineStr">
        <is>
          <t>APPROVED</t>
        </is>
      </c>
      <c r="G21" s="12" t="inlineStr">
        <is>
          <t>M2 &amp; M4: Dữ liệu khớp 100% giữa Sheet 1, Sheet 4 và Sheet 5.</t>
        </is>
      </c>
    </row>
    <row r="22" ht="42" customHeight="1">
      <c r="A22" s="4" t="inlineStr">
        <is>
          <t>CL-03</t>
        </is>
      </c>
      <c r="B22" s="6" t="inlineStr">
        <is>
          <t>4. Package Treatment Mapping</t>
        </is>
      </c>
      <c r="C22" s="4" t="inlineStr">
        <is>
          <t>All Packages</t>
        </is>
      </c>
      <c r="D22" s="9" t="inlineStr">
        <is>
          <t>Tạo mới Sheet 4 chuẩn hóa quan hệ 1-N giữa Gói và Liệu trình (một dòng một cặp).</t>
        </is>
      </c>
      <c r="E22" s="9" t="inlineStr">
        <is>
          <t>Chuẩn hóa dữ liệu seed cho bảng liên kết RETREAT_PACKAGE_SPA_TREATMENT.</t>
        </is>
      </c>
      <c r="F22" s="24" t="inlineStr">
        <is>
          <t>APPROVED</t>
        </is>
      </c>
      <c r="G22" s="6" t="inlineStr">
        <is>
          <t>M2 &amp; M3: Đã sẵn sàng seed bảng liên kết.</t>
        </is>
      </c>
    </row>
    <row r="23" ht="42" customHeight="1">
      <c r="A23" s="10" t="inlineStr">
        <is>
          <t>CL-04</t>
        </is>
      </c>
      <c r="B23" s="12" t="inlineStr">
        <is>
          <t>5. Package F&amp;B Entitlements</t>
        </is>
      </c>
      <c r="C23" s="10" t="inlineStr">
        <is>
          <t>All Packages</t>
        </is>
      </c>
      <c r="D23" s="15" t="inlineStr">
        <is>
          <t>Tạo mới Sheet 5 bóc tách bữa sáng, trưa, tối sang trường số.</t>
        </is>
      </c>
      <c r="E23" s="15" t="inlineStr">
        <is>
          <t>Chuẩn hóa dữ liệu seed cho M4 F&amp;B và quản lý suất ăn.</t>
        </is>
      </c>
      <c r="F23" s="25" t="inlineStr">
        <is>
          <t>PENDING_CONFIRMATION</t>
        </is>
      </c>
      <c r="G23" s="12" t="inlineStr">
        <is>
          <t>M4: Cần xác nhận chính sách phục vụ bữa cho ngày check-in/out của gói RET-MOM-03.</t>
        </is>
      </c>
    </row>
    <row r="24" ht="42" customHeight="1">
      <c r="A24" s="4" t="inlineStr">
        <is>
          <t>CL-05</t>
        </is>
      </c>
      <c r="B24" s="6" t="inlineStr">
        <is>
          <t>2. Spa Catalog (M3)</t>
        </is>
      </c>
      <c r="C24" s="4" t="inlineStr">
        <is>
          <t>18 Treatments</t>
        </is>
      </c>
      <c r="D24" s="9" t="inlineStr">
        <is>
          <t>Thêm cột treatment_status = 'ACTIVE', chuẩn hóa pricing_rule, xác định 18 dịch vụ duy nhất.</t>
        </is>
      </c>
      <c r="E24" s="9" t="inlineStr">
        <is>
          <t>Loại bỏ hoàn toàn sự không nhất quán về số lượng dịch vụ.</t>
        </is>
      </c>
      <c r="F24" s="24" t="inlineStr">
        <is>
          <t>APPROVED</t>
        </is>
      </c>
      <c r="G24" s="6" t="inlineStr">
        <is>
          <t>M3: Đã sẵn sàng seed bảng SPA_TREATMENT.</t>
        </is>
      </c>
    </row>
    <row r="25" ht="42" customHeight="1">
      <c r="A25" s="10" t="inlineStr">
        <is>
          <t>CL-06</t>
        </is>
      </c>
      <c r="B25" s="12" t="inlineStr">
        <is>
          <t>2. Spa Catalog (M3)</t>
        </is>
      </c>
      <c r="C25" s="10" t="inlineStr">
        <is>
          <t>SPA-MASS-06</t>
        </is>
      </c>
      <c r="D25" s="15" t="inlineStr">
        <is>
          <t>Đánh dấu PENDING_MEDICAL_REVIEW phần thao tác chân cho mẹ bầu.</t>
        </is>
      </c>
      <c r="E25" s="15" t="inlineStr">
        <is>
          <t>Tuân thủ an toàn y tế và nguyên tắc không tự suy đoán chuyên môn.</t>
        </is>
      </c>
      <c r="F25" s="25" t="inlineStr">
        <is>
          <t>PENDING_MEDICAL_REVIEW</t>
        </is>
      </c>
      <c r="G25" s="12" t="inlineStr">
        <is>
          <t>M1 / Bác sĩ Sản khoa: Cần rà soát và xác nhận trước khi đưa vào hướng dẫn lâm sàng.</t>
        </is>
      </c>
    </row>
    <row r="26" ht="42" customHeight="1">
      <c r="A26" s="4" t="inlineStr">
        <is>
          <t>CL-07</t>
        </is>
      </c>
      <c r="B26" s="6" t="inlineStr">
        <is>
          <t>6. Room Master &amp; Compatibility</t>
        </is>
      </c>
      <c r="C26" s="4" t="inlineStr">
        <is>
          <t>11 Room Types</t>
        </is>
      </c>
      <c r="D26" s="9" t="inlineStr">
        <is>
          <t>Tạo mới Sheet 6 với 3 bảng: ROOM_TYPE_MASTER, TREATMENT_ROOM_MASTER, TREATMENT_ROOM_COMPATIBILITY.</t>
        </is>
      </c>
      <c r="E26" s="9" t="inlineStr">
        <is>
          <t>Chuẩn hóa baseline loại phòng và điều kiện thiết bị phục vụ 2D Lock.</t>
        </is>
      </c>
      <c r="F26" s="24" t="inlineStr">
        <is>
          <t>DESIGN_APPROVED_DATA_PENDING</t>
        </is>
      </c>
      <c r="G26" s="6" t="inlineStr">
        <is>
          <t>M3 / Resort: Cần danh sách kiểm kê phòng thực tế để điền bảng TREATMENT_ROOM_MASTER.</t>
        </is>
      </c>
    </row>
    <row r="27" ht="42" customHeight="1">
      <c r="A27" s="10" t="inlineStr">
        <is>
          <t>CL-08</t>
        </is>
      </c>
      <c r="B27" s="12" t="inlineStr">
        <is>
          <t>7. Qualification Master &amp; Mapping</t>
        </is>
      </c>
      <c r="C27" s="10" t="inlineStr">
        <is>
          <t>18 Qualifications</t>
        </is>
      </c>
      <c r="D27" s="15" t="inlineStr">
        <is>
          <t>Tạo mới Sheet 7 với 3 bảng: QUALIFICATION_MASTER, TREATMENT_REQUIRED_QUALIFICATION, THERAPIST_QUALIFICATION.</t>
        </is>
      </c>
      <c r="E27" s="15" t="inlineStr">
        <is>
          <t>Chuẩn hóa baseline chứng chỉ phục vụ tự động gán ca.</t>
        </is>
      </c>
      <c r="F27" s="24" t="inlineStr">
        <is>
          <t>DESIGN_APPROVED_MAPPING_PENDING</t>
        </is>
      </c>
      <c r="G27" s="12" t="inlineStr">
        <is>
          <t>M3 / HR: Cần danh sách KTV và bằng cấp thực tế để điền bảng THERAPIST_QUALIFICATION.</t>
        </is>
      </c>
    </row>
    <row r="28" ht="42" customHeight="1">
      <c r="A28" s="4" t="inlineStr">
        <is>
          <t>CL-09</t>
        </is>
      </c>
      <c r="B28" s="6" t="inlineStr">
        <is>
          <t>3. Rules &amp; Configuration</t>
        </is>
      </c>
      <c r="C28" s="4" t="inlineStr">
        <is>
          <t>GB-M3-05</t>
        </is>
      </c>
      <c r="D28" s="9" t="inlineStr">
        <is>
          <t>Chốt kỹ thuật 2D Atomic Lock: Dùng SQL Server SERIALIZABLE isolation, bỏ Redis distributed lock trong baseline.</t>
        </is>
      </c>
      <c r="E28" s="9" t="inlineStr">
        <is>
          <t>Thống nhất kiến trúc cơ sở dữ liệu và đơn giản hóa hạ tầng.</t>
        </is>
      </c>
      <c r="F28" s="6" t="inlineStr">
        <is>
          <t>DESIGN_LOCKED</t>
        </is>
      </c>
      <c r="G28" s="6" t="inlineStr">
        <is>
          <t>M3 Dev: Triển khai transaction SERIALIZABLE và kiểm thử concurrency.</t>
        </is>
      </c>
    </row>
    <row r="29" ht="42" customHeight="1">
      <c r="A29" s="10" t="inlineStr">
        <is>
          <t>CL-10</t>
        </is>
      </c>
      <c r="B29" s="12" t="inlineStr">
        <is>
          <t>3. Rules &amp; Configuration</t>
        </is>
      </c>
      <c r="C29" s="10" t="inlineStr">
        <is>
          <t>OI-08</t>
        </is>
      </c>
      <c r="D29" s="15" t="inlineStr">
        <is>
          <t>Chốt dứt điểm KHÔNG lưu IN_PROGRESS vào enum database của SPA_SESSION.</t>
        </is>
      </c>
      <c r="E29" s="15" t="inlineStr">
        <is>
          <t>Tuân thủ SRS và mô hình trạng thái đã duyệt; nút UI Start Session không tạo state mới.</t>
        </is>
      </c>
      <c r="F29" s="24" t="inlineStr">
        <is>
          <t>APPROVED</t>
        </is>
      </c>
      <c r="G29" s="12" t="inlineStr">
        <is>
          <t>M3 Dev: Giữ nguyên enum SPA_SESSION_STATUS gồm 6 trạng thái đã duyệt.</t>
        </is>
      </c>
    </row>
    <row r="30" ht="42" customHeight="1">
      <c r="A30" s="4" t="inlineStr">
        <is>
          <t>CL-11</t>
        </is>
      </c>
      <c r="B30" s="6" t="inlineStr">
        <is>
          <t>3. Rules &amp; Configuration</t>
        </is>
      </c>
      <c r="C30" s="4" t="inlineStr">
        <is>
          <t>OI-01</t>
        </is>
      </c>
      <c r="D30" s="9" t="inlineStr">
        <is>
          <t>Giữ OI-01 ở trạng thái PENDING_CROSS_MODULE_CONTRACT, chốt M3/M4 không ghi trực tiếp Folio.</t>
        </is>
      </c>
      <c r="E30" s="9" t="inlineStr">
        <is>
          <t>Bảo đảm ranh giới kiến trúc và chống ghi nhận trùng lặp công nợ.</t>
        </is>
      </c>
      <c r="F30" s="25" t="inlineStr">
        <is>
          <t>PENDING_CONTRACT</t>
        </is>
      </c>
      <c r="G30" s="6" t="inlineStr">
        <is>
          <t>M3, M4, M5: Họp chốt BillingPort API, Idempotency Key và đối soát.</t>
        </is>
      </c>
    </row>
    <row r="31" ht="42" customHeight="1">
      <c r="A31" s="10" t="inlineStr">
        <is>
          <t>CL-12</t>
        </is>
      </c>
      <c r="B31" s="12" t="inlineStr">
        <is>
          <t>3. Rules &amp; Configuration</t>
        </is>
      </c>
      <c r="C31" s="10" t="inlineStr">
        <is>
          <t>OI-05</t>
        </is>
      </c>
      <c r="D31" s="15" t="inlineStr">
        <is>
          <t>Giữ OI-05 ở trạng thái PENDING_CONFIRMATION về phạm vi hỗ trợ Tiền mặt / POS.</t>
        </is>
      </c>
      <c r="E31" s="15" t="inlineStr">
        <is>
          <t>Tránh tự ý quyết định phương thức thanh toán khi chưa có phê duyệt chính thức.</t>
        </is>
      </c>
      <c r="F31" s="25" t="inlineStr">
        <is>
          <t>PENDING_CONFIRMATION</t>
        </is>
      </c>
      <c r="G31" s="12" t="inlineStr">
        <is>
          <t>BA &amp; Tech Lead: Họp chốt danh mục enum PAYMENT_METHOD.</t>
        </is>
      </c>
    </row>
  </sheetData>
  <mergeCells count="3">
    <mergeCell ref="A2:G2"/>
    <mergeCell ref="A1:G1"/>
    <mergeCell ref="A18:G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showGridLines="1" workbookViewId="0">
      <pane ySplit="4" topLeftCell="A5" activePane="bottomLeft" state="frozen"/>
      <selection pane="bottomLeft" activeCell="A1" sqref="A1"/>
    </sheetView>
  </sheetViews>
  <sheetFormatPr baseColWidth="8" defaultRowHeight="15"/>
  <cols>
    <col width="16" customWidth="1" min="1" max="1"/>
    <col width="17" customWidth="1" min="2" max="2"/>
    <col width="40" customWidth="1" min="3" max="3"/>
    <col width="22" customWidth="1" min="4" max="4"/>
    <col width="23" customWidth="1" min="5" max="5"/>
    <col width="48" customWidth="1" min="6" max="6"/>
  </cols>
  <sheetData>
    <row r="1">
      <c r="A1" s="1" t="inlineStr">
        <is>
          <t>BẢNG QUAN HỆ GÓI NGHỈ DƯỠNG &amp; LIỆU TRÌNH (PACKAGE - TREATMENT MAPPING) [SEED DATA]</t>
        </is>
      </c>
    </row>
    <row r="2">
      <c r="A2" s="2" t="inlineStr">
        <is>
          <t>Mỗi dòng đại diện cho một dịch vụ thuộc một gói (Quan hệ N-N chuẩn hóa). Sẵn sàng seed bảng RETREAT_PACKAGE_SPA_TREATMENT</t>
        </is>
      </c>
    </row>
    <row r="3"/>
    <row r="4" ht="34" customHeight="1">
      <c r="A4" s="3" t="inlineStr">
        <is>
          <t>Mã Gói
(package_id)</t>
        </is>
      </c>
      <c r="B4" s="3" t="inlineStr">
        <is>
          <t>Mã Liệu Trình
(treatment_id)</t>
        </is>
      </c>
      <c r="C4" s="3" t="inlineStr">
        <is>
          <t>Tên Liệu Trình (Tham Chiếu)</t>
        </is>
      </c>
      <c r="D4" s="3" t="inlineStr">
        <is>
          <t>Số Buổi Được Hưởng
(included_sessions)</t>
        </is>
      </c>
      <c r="E4" s="3" t="inlineStr">
        <is>
          <t>Trạng Thái Quyền Lợi
(entitlement_status)</t>
        </is>
      </c>
      <c r="F4" s="3" t="inlineStr">
        <is>
          <t>Ghi Chú Nghiệp Vụ / Thời Lượng
(notes)</t>
        </is>
      </c>
    </row>
    <row r="5" ht="24" customHeight="1">
      <c r="A5" s="4" t="inlineStr">
        <is>
          <t>RET-DETOX-03</t>
        </is>
      </c>
      <c r="B5" s="4" t="inlineStr">
        <is>
          <t>SPA-MASS-03</t>
        </is>
      </c>
      <c r="C5" s="5" t="inlineStr">
        <is>
          <t>Trị Liệu Dẫn Lưu Bạch Huyết</t>
        </is>
      </c>
      <c r="D5" s="26" t="n">
        <v>1</v>
      </c>
      <c r="E5" s="24" t="inlineStr">
        <is>
          <t>INCLUDED</t>
        </is>
      </c>
      <c r="F5" s="5" t="inlineStr">
        <is>
          <t>Thời lượng: 75 phút/buổi. Kích hoạt hệ bạch huyết.</t>
        </is>
      </c>
    </row>
    <row r="6" ht="24" customHeight="1">
      <c r="A6" s="10" t="inlineStr">
        <is>
          <t>RET-DETOX-03</t>
        </is>
      </c>
      <c r="B6" s="10" t="inlineStr">
        <is>
          <t>SPA-BODY-01</t>
        </is>
      </c>
      <c r="C6" s="11" t="inlineStr">
        <is>
          <t>Tẩy Tế Bào Chết Cà Phê &amp; Dừa</t>
        </is>
      </c>
      <c r="D6" s="27" t="n">
        <v>1</v>
      </c>
      <c r="E6" s="24" t="inlineStr">
        <is>
          <t>INCLUDED</t>
        </is>
      </c>
      <c r="F6" s="11" t="inlineStr">
        <is>
          <t>Thời lượng: 45 phút/buổi. Thanh tẩy tế bào chết.</t>
        </is>
      </c>
    </row>
    <row r="7" ht="24" customHeight="1">
      <c r="A7" s="4" t="inlineStr">
        <is>
          <t>RET-DETOX-03</t>
        </is>
      </c>
      <c r="B7" s="4" t="inlineStr">
        <is>
          <t>SPA-HYDRO-02</t>
        </is>
      </c>
      <c r="C7" s="5" t="inlineStr">
        <is>
          <t>Ngâm Bồn Khoáng Thảo Dược Dao Đỏ</t>
        </is>
      </c>
      <c r="D7" s="26" t="n">
        <v>1</v>
      </c>
      <c r="E7" s="24" t="inlineStr">
        <is>
          <t>INCLUDED</t>
        </is>
      </c>
      <c r="F7" s="5" t="inlineStr">
        <is>
          <t>Thời lượng: 45 phút/buổi. Thủy liệu pháp thư giãn.</t>
        </is>
      </c>
    </row>
    <row r="8" ht="24" customHeight="1">
      <c r="A8" s="10" t="inlineStr">
        <is>
          <t>RET-DETOX-03</t>
        </is>
      </c>
      <c r="B8" s="10" t="inlineStr">
        <is>
          <t>SPA-YOGA-02</t>
        </is>
      </c>
      <c r="C8" s="11" t="inlineStr">
        <is>
          <t>Hít Thở Năng Lượng &amp; Thiền Định</t>
        </is>
      </c>
      <c r="D8" s="27" t="n">
        <v>2</v>
      </c>
      <c r="E8" s="24" t="inlineStr">
        <is>
          <t>INCLUDED</t>
        </is>
      </c>
      <c r="F8" s="11" t="inlineStr">
        <is>
          <t>Thời lượng: 60 phút/buổi. Thiền định thanh lọc thân tâm.</t>
        </is>
      </c>
    </row>
    <row r="9" ht="24" customHeight="1">
      <c r="A9" s="4" t="inlineStr">
        <is>
          <t>RET-DETOX-05</t>
        </is>
      </c>
      <c r="B9" s="4" t="inlineStr">
        <is>
          <t>SPA-MASS-03</t>
        </is>
      </c>
      <c r="C9" s="5" t="inlineStr">
        <is>
          <t>Trị Liệu Dẫn Lưu Bạch Huyết</t>
        </is>
      </c>
      <c r="D9" s="26" t="n">
        <v>2</v>
      </c>
      <c r="E9" s="24" t="inlineStr">
        <is>
          <t>INCLUDED</t>
        </is>
      </c>
      <c r="F9" s="5" t="inlineStr">
        <is>
          <t>Thời lượng: 75 phút/buổi. Dẫn lưu giải độc chuyên sâu.</t>
        </is>
      </c>
    </row>
    <row r="10" ht="24" customHeight="1">
      <c r="A10" s="10" t="inlineStr">
        <is>
          <t>RET-DETOX-05</t>
        </is>
      </c>
      <c r="B10" s="10" t="inlineStr">
        <is>
          <t>SPA-HEAL-03</t>
        </is>
      </c>
      <c r="C10" s="11" t="inlineStr">
        <is>
          <t>Bấm Huyệt Thải Độc Bụng Chi Nei Tsang</t>
        </is>
      </c>
      <c r="D10" s="27" t="n">
        <v>1</v>
      </c>
      <c r="E10" s="24" t="inlineStr">
        <is>
          <t>INCLUDED</t>
        </is>
      </c>
      <c r="F10" s="11" t="inlineStr">
        <is>
          <t>Thời lượng: 60 phút/buổi. Massage tạng phủ giải độc.</t>
        </is>
      </c>
    </row>
    <row r="11" ht="24" customHeight="1">
      <c r="A11" s="4" t="inlineStr">
        <is>
          <t>RET-DETOX-05</t>
        </is>
      </c>
      <c r="B11" s="4" t="inlineStr">
        <is>
          <t>SPA-BODY-02</t>
        </is>
      </c>
      <c r="C11" s="5" t="inlineStr">
        <is>
          <t>Ủ Khoáng Nóng Thảo Dược Núi Cao</t>
        </is>
      </c>
      <c r="D11" s="26" t="n">
        <v>1</v>
      </c>
      <c r="E11" s="24" t="inlineStr">
        <is>
          <t>INCLUDED</t>
        </is>
      </c>
      <c r="F11" s="5" t="inlineStr">
        <is>
          <t>Thời lượng: 60 phút/buổi. Đào thải độc tố qua da.</t>
        </is>
      </c>
    </row>
    <row r="12" ht="24" customHeight="1">
      <c r="A12" s="10" t="inlineStr">
        <is>
          <t>RET-DETOX-05</t>
        </is>
      </c>
      <c r="B12" s="10" t="inlineStr">
        <is>
          <t>SPA-HYDRO-01</t>
        </is>
      </c>
      <c r="C12" s="11" t="inlineStr">
        <is>
          <t>Thủy Trị Liệu Vòi Phun Vichy Shower</t>
        </is>
      </c>
      <c r="D12" s="27" t="n">
        <v>2</v>
      </c>
      <c r="E12" s="24" t="inlineStr">
        <is>
          <t>INCLUDED</t>
        </is>
      </c>
      <c r="F12" s="11" t="inlineStr">
        <is>
          <t>Thời lượng: 45 phút/buổi. Massage dòng nước Vichy.</t>
        </is>
      </c>
    </row>
    <row r="13" ht="24" customHeight="1">
      <c r="A13" s="4" t="inlineStr">
        <is>
          <t>RET-DETOX-05</t>
        </is>
      </c>
      <c r="B13" s="4" t="inlineStr">
        <is>
          <t>SPA-YOGA-02</t>
        </is>
      </c>
      <c r="C13" s="5" t="inlineStr">
        <is>
          <t>Hít Thở Năng Lượng &amp; Thiền Định</t>
        </is>
      </c>
      <c r="D13" s="26" t="n">
        <v>4</v>
      </c>
      <c r="E13" s="24" t="inlineStr">
        <is>
          <t>INCLUDED</t>
        </is>
      </c>
      <c r="F13" s="5" t="inlineStr">
        <is>
          <t>Thời lượng: 60 phút/buổi. Luyện thở Pranayama hàng ngày.</t>
        </is>
      </c>
    </row>
    <row r="14" ht="24" customHeight="1">
      <c r="A14" s="10" t="inlineStr">
        <is>
          <t>RET-SLEEP-03</t>
        </is>
      </c>
      <c r="B14" s="10" t="inlineStr">
        <is>
          <t>SPA-HEAL-01</t>
        </is>
      </c>
      <c r="C14" s="11" t="inlineStr">
        <is>
          <t>Liệu Pháp Chuông Xoay Tây Tạng</t>
        </is>
      </c>
      <c r="D14" s="27" t="n">
        <v>1</v>
      </c>
      <c r="E14" s="24" t="inlineStr">
        <is>
          <t>INCLUDED</t>
        </is>
      </c>
      <c r="F14" s="11" t="inlineStr">
        <is>
          <t>Thời lượng: 60 phút/buổi. Sóng rung đưa não về tần số Alpha/Theta.</t>
        </is>
      </c>
    </row>
    <row r="15" ht="24" customHeight="1">
      <c r="A15" s="4" t="inlineStr">
        <is>
          <t>RET-SLEEP-03</t>
        </is>
      </c>
      <c r="B15" s="4" t="inlineStr">
        <is>
          <t>SPA-HEAL-02</t>
        </is>
      </c>
      <c r="C15" s="5" t="inlineStr">
        <is>
          <t>Nhỏ Dầu Ấm Luân Xa Trán Shirodhara</t>
        </is>
      </c>
      <c r="D15" s="26" t="n">
        <v>1</v>
      </c>
      <c r="E15" s="24" t="inlineStr">
        <is>
          <t>INCLUDED</t>
        </is>
      </c>
      <c r="F15" s="5" t="inlineStr">
        <is>
          <t>Thời lượng: 60 phút/buổi. Trị mất ngủ kinh niên.</t>
        </is>
      </c>
    </row>
    <row r="16" ht="24" customHeight="1">
      <c r="A16" s="10" t="inlineStr">
        <is>
          <t>RET-SLEEP-03</t>
        </is>
      </c>
      <c r="B16" s="10" t="inlineStr">
        <is>
          <t>SPA-MASS-05</t>
        </is>
      </c>
      <c r="C16" s="11" t="inlineStr">
        <is>
          <t>Trị Liệu Thảo Dược Cổ Truyền</t>
        </is>
      </c>
      <c r="D16" s="27" t="n">
        <v>1</v>
      </c>
      <c r="E16" s="24" t="inlineStr">
        <is>
          <t>INCLUDED</t>
        </is>
      </c>
      <c r="F16" s="11" t="inlineStr">
        <is>
          <t>Thời lượng: 75 phút/buổi. Chườm ấm kinh lạc.</t>
        </is>
      </c>
    </row>
    <row r="17" ht="24" customHeight="1">
      <c r="A17" s="4" t="inlineStr">
        <is>
          <t>RET-SLEEP-03</t>
        </is>
      </c>
      <c r="B17" s="4" t="inlineStr">
        <is>
          <t>SPA-YOGA-02</t>
        </is>
      </c>
      <c r="C17" s="5" t="inlineStr">
        <is>
          <t>Hít Thở Năng Lượng &amp; Thiền Định</t>
        </is>
      </c>
      <c r="D17" s="26" t="n">
        <v>2</v>
      </c>
      <c r="E17" s="24" t="inlineStr">
        <is>
          <t>INCLUDED</t>
        </is>
      </c>
      <c r="F17" s="5" t="inlineStr">
        <is>
          <t>Thời lượng: 60 phút/buổi. Thiền buông thư Yoga Nidra buổi tối.</t>
        </is>
      </c>
    </row>
    <row r="18" ht="24" customHeight="1">
      <c r="A18" s="10" t="inlineStr">
        <is>
          <t>RET-STRESS-04</t>
        </is>
      </c>
      <c r="B18" s="10" t="inlineStr">
        <is>
          <t>SPA-MASS-01</t>
        </is>
      </c>
      <c r="C18" s="11" t="inlineStr">
        <is>
          <t>Massage Đá Nóng Núi Lửa Himalaya</t>
        </is>
      </c>
      <c r="D18" s="27" t="n">
        <v>1</v>
      </c>
      <c r="E18" s="24" t="inlineStr">
        <is>
          <t>INCLUDED</t>
        </is>
      </c>
      <c r="F18" s="11" t="inlineStr">
        <is>
          <t>Thời lượng: 90 phút/buổi. Thư giãn mô sâu.</t>
        </is>
      </c>
    </row>
    <row r="19" ht="24" customHeight="1">
      <c r="A19" s="4" t="inlineStr">
        <is>
          <t>RET-STRESS-04</t>
        </is>
      </c>
      <c r="B19" s="4" t="inlineStr">
        <is>
          <t>SPA-HEAL-01</t>
        </is>
      </c>
      <c r="C19" s="5" t="inlineStr">
        <is>
          <t>Liệu Pháp Chuông Xoay Tây Tạng</t>
        </is>
      </c>
      <c r="D19" s="26" t="n">
        <v>1</v>
      </c>
      <c r="E19" s="24" t="inlineStr">
        <is>
          <t>INCLUDED</t>
        </is>
      </c>
      <c r="F19" s="5" t="inlineStr">
        <is>
          <t>Thời lượng: 60 phút/buổi. Chữa lành tâm trí.</t>
        </is>
      </c>
    </row>
    <row r="20" ht="24" customHeight="1">
      <c r="A20" s="10" t="inlineStr">
        <is>
          <t>RET-STRESS-04</t>
        </is>
      </c>
      <c r="B20" s="10" t="inlineStr">
        <is>
          <t>SPA-FACE-02</t>
        </is>
      </c>
      <c r="C20" s="11" t="inlineStr">
        <is>
          <t>Cấp Ẩm Phục Hồi Tế Bào Da</t>
        </is>
      </c>
      <c r="D20" s="27" t="n">
        <v>1</v>
      </c>
      <c r="E20" s="24" t="inlineStr">
        <is>
          <t>INCLUDED</t>
        </is>
      </c>
      <c r="F20" s="11" t="inlineStr">
        <is>
          <t>Thời lượng: 60 phút/buổi. Phục hồi làn da mệt mỏi.</t>
        </is>
      </c>
    </row>
    <row r="21" ht="24" customHeight="1">
      <c r="A21" s="4" t="inlineStr">
        <is>
          <t>RET-STRESS-04</t>
        </is>
      </c>
      <c r="B21" s="4" t="inlineStr">
        <is>
          <t>SPA-HYDRO-02</t>
        </is>
      </c>
      <c r="C21" s="5" t="inlineStr">
        <is>
          <t>Ngâm Bồn Khoáng Thảo Dược Dao Đỏ</t>
        </is>
      </c>
      <c r="D21" s="26" t="n">
        <v>1</v>
      </c>
      <c r="E21" s="24" t="inlineStr">
        <is>
          <t>INCLUDED</t>
        </is>
      </c>
      <c r="F21" s="5" t="inlineStr">
        <is>
          <t>Thời lượng: 45 phút/buổi. Thư giãn cơ bắp.</t>
        </is>
      </c>
    </row>
    <row r="22" ht="24" customHeight="1">
      <c r="A22" s="10" t="inlineStr">
        <is>
          <t>RET-STRESS-04</t>
        </is>
      </c>
      <c r="B22" s="10" t="inlineStr">
        <is>
          <t>SPA-YOGA-02</t>
        </is>
      </c>
      <c r="C22" s="11" t="inlineStr">
        <is>
          <t>Hít Thở Năng Lượng &amp; Thiền Định</t>
        </is>
      </c>
      <c r="D22" s="27" t="n">
        <v>3</v>
      </c>
      <c r="E22" s="24" t="inlineStr">
        <is>
          <t>INCLUDED</t>
        </is>
      </c>
      <c r="F22" s="11" t="inlineStr">
        <is>
          <t>Thời lượng: 60 phút/buổi. Thiền chánh niệm hàng ngày.</t>
        </is>
      </c>
    </row>
    <row r="23" ht="24" customHeight="1">
      <c r="A23" s="4" t="inlineStr">
        <is>
          <t>RET-AGING-04</t>
        </is>
      </c>
      <c r="B23" s="4" t="inlineStr">
        <is>
          <t>SPA-FACE-01</t>
        </is>
      </c>
      <c r="C23" s="5" t="inlineStr">
        <is>
          <t>Nâng Cơ Mặt Guasha Ngọc Thạch</t>
        </is>
      </c>
      <c r="D23" s="26" t="n">
        <v>1</v>
      </c>
      <c r="E23" s="24" t="inlineStr">
        <is>
          <t>INCLUDED</t>
        </is>
      </c>
      <c r="F23" s="5" t="inlineStr">
        <is>
          <t>Thời lượng: 75 phút/buổi. Kích thích tăng sinh collagen.</t>
        </is>
      </c>
    </row>
    <row r="24" ht="24" customHeight="1">
      <c r="A24" s="10" t="inlineStr">
        <is>
          <t>RET-AGING-04</t>
        </is>
      </c>
      <c r="B24" s="10" t="inlineStr">
        <is>
          <t>SPA-FACE-03</t>
        </is>
      </c>
      <c r="C24" s="11" t="inlineStr">
        <is>
          <t>Trẻ Hóa Tế Bào Tảo Biển Hữu Cơ</t>
        </is>
      </c>
      <c r="D24" s="27" t="n">
        <v>1</v>
      </c>
      <c r="E24" s="24" t="inlineStr">
        <is>
          <t>INCLUDED</t>
        </is>
      </c>
      <c r="F24" s="11" t="inlineStr">
        <is>
          <t>Thời lượng: 75 phút/buổi. Bổ sung vi khoáng làm mờ nếp nhăn.</t>
        </is>
      </c>
    </row>
    <row r="25" ht="24" customHeight="1">
      <c r="A25" s="4" t="inlineStr">
        <is>
          <t>RET-AGING-04</t>
        </is>
      </c>
      <c r="B25" s="4" t="inlineStr">
        <is>
          <t>SPA-MASS-01</t>
        </is>
      </c>
      <c r="C25" s="5" t="inlineStr">
        <is>
          <t>Massage Đá Nóng Núi Lửa Himalaya</t>
        </is>
      </c>
      <c r="D25" s="26" t="n">
        <v>1</v>
      </c>
      <c r="E25" s="24" t="inlineStr">
        <is>
          <t>INCLUDED</t>
        </is>
      </c>
      <c r="F25" s="5" t="inlineStr">
        <is>
          <t>Thời lượng: 90 phút/buổi. Tăng tuần hoàn máu toàn thân.</t>
        </is>
      </c>
    </row>
    <row r="26" ht="24" customHeight="1">
      <c r="A26" s="10" t="inlineStr">
        <is>
          <t>RET-AGING-04</t>
        </is>
      </c>
      <c r="B26" s="10" t="inlineStr">
        <is>
          <t>SPA-BODY-02</t>
        </is>
      </c>
      <c r="C26" s="11" t="inlineStr">
        <is>
          <t>Ủ Khoáng Nóng Thảo Dược Núi Cao</t>
        </is>
      </c>
      <c r="D26" s="27" t="n">
        <v>1</v>
      </c>
      <c r="E26" s="24" t="inlineStr">
        <is>
          <t>INCLUDED</t>
        </is>
      </c>
      <c r="F26" s="11" t="inlineStr">
        <is>
          <t>Thời lượng: 60 phút/buổi. Tái tạo da toàn thân.</t>
        </is>
      </c>
    </row>
    <row r="27" ht="24" customHeight="1">
      <c r="A27" s="4" t="inlineStr">
        <is>
          <t>RET-AGING-04</t>
        </is>
      </c>
      <c r="B27" s="4" t="inlineStr">
        <is>
          <t>SPA-YOGA-01</t>
        </is>
      </c>
      <c r="C27" s="5" t="inlineStr">
        <is>
          <t>Yoga Trị Liệu Chỉnh Trục Cột Sống 1-1</t>
        </is>
      </c>
      <c r="D27" s="26" t="n">
        <v>2</v>
      </c>
      <c r="E27" s="24" t="inlineStr">
        <is>
          <t>INCLUDED</t>
        </is>
      </c>
      <c r="F27" s="5" t="inlineStr">
        <is>
          <t>Thời lượng: 60 phút/buổi. Tăng độ dẻo dai cơ thể.</t>
        </is>
      </c>
    </row>
    <row r="28" ht="24" customHeight="1">
      <c r="A28" s="10" t="inlineStr">
        <is>
          <t>RET-ALIGN-03</t>
        </is>
      </c>
      <c r="B28" s="10" t="inlineStr">
        <is>
          <t>SPA-MASS-02</t>
        </is>
      </c>
      <c r="C28" s="11" t="inlineStr">
        <is>
          <t>Massage Cơ Sâu Bấm Huyệt Deep Tissue</t>
        </is>
      </c>
      <c r="D28" s="27" t="n">
        <v>1</v>
      </c>
      <c r="E28" s="24" t="inlineStr">
        <is>
          <t>INCLUDED</t>
        </is>
      </c>
      <c r="F28" s="11" t="inlineStr">
        <is>
          <t>Thời lượng: 75 phút/buổi. Giải phóng co thắt cổ vai gáy.</t>
        </is>
      </c>
    </row>
    <row r="29" ht="24" customHeight="1">
      <c r="A29" s="4" t="inlineStr">
        <is>
          <t>RET-ALIGN-03</t>
        </is>
      </c>
      <c r="B29" s="4" t="inlineStr">
        <is>
          <t>SPA-MASS-04</t>
        </is>
      </c>
      <c r="C29" s="5" t="inlineStr">
        <is>
          <t>Bấm Huyệt Y Học Cổ Truyền</t>
        </is>
      </c>
      <c r="D29" s="26" t="n">
        <v>1</v>
      </c>
      <c r="E29" s="24" t="inlineStr">
        <is>
          <t>INCLUDED</t>
        </is>
      </c>
      <c r="F29" s="5" t="inlineStr">
        <is>
          <t>Thời lượng: 60 phút/buổi. Thông kinh hoạt lạc.</t>
        </is>
      </c>
    </row>
    <row r="30" ht="24" customHeight="1">
      <c r="A30" s="10" t="inlineStr">
        <is>
          <t>RET-ALIGN-03</t>
        </is>
      </c>
      <c r="B30" s="10" t="inlineStr">
        <is>
          <t>SPA-MASS-05</t>
        </is>
      </c>
      <c r="C30" s="11" t="inlineStr">
        <is>
          <t>Trị Liệu Thảo Dược Cổ Truyền</t>
        </is>
      </c>
      <c r="D30" s="27" t="n">
        <v>1</v>
      </c>
      <c r="E30" s="24" t="inlineStr">
        <is>
          <t>INCLUDED</t>
        </is>
      </c>
      <c r="F30" s="11" t="inlineStr">
        <is>
          <t>Thời lượng: 75 phút/buổi. Giảm đau nhức phong thấp.</t>
        </is>
      </c>
    </row>
    <row r="31" ht="24" customHeight="1">
      <c r="A31" s="4" t="inlineStr">
        <is>
          <t>RET-ALIGN-03</t>
        </is>
      </c>
      <c r="B31" s="4" t="inlineStr">
        <is>
          <t>SPA-YOGA-01</t>
        </is>
      </c>
      <c r="C31" s="5" t="inlineStr">
        <is>
          <t>Yoga Trị Liệu Chỉnh Trục Cột Sống 1-1</t>
        </is>
      </c>
      <c r="D31" s="26" t="n">
        <v>2</v>
      </c>
      <c r="E31" s="24" t="inlineStr">
        <is>
          <t>INCLUDED</t>
        </is>
      </c>
      <c r="F31" s="5" t="inlineStr">
        <is>
          <t>Thời lượng: 60 phút/buổi. Huấn luyện viên kèm chỉnh vẹo cột sống.</t>
        </is>
      </c>
    </row>
    <row r="32" ht="24" customHeight="1">
      <c r="A32" s="10" t="inlineStr">
        <is>
          <t>RET-VITAL-05</t>
        </is>
      </c>
      <c r="B32" s="10" t="inlineStr">
        <is>
          <t>SPA-MASS-03</t>
        </is>
      </c>
      <c r="C32" s="11" t="inlineStr">
        <is>
          <t>Trị Liệu Dẫn Lưu Bạch Huyết</t>
        </is>
      </c>
      <c r="D32" s="27" t="n">
        <v>2</v>
      </c>
      <c r="E32" s="24" t="inlineStr">
        <is>
          <t>INCLUDED</t>
        </is>
      </c>
      <c r="F32" s="11" t="inlineStr">
        <is>
          <t>Thời lượng: 75 phút/buổi. Giảm phù nề ứ nước.</t>
        </is>
      </c>
    </row>
    <row r="33" ht="24" customHeight="1">
      <c r="A33" s="4" t="inlineStr">
        <is>
          <t>RET-VITAL-05</t>
        </is>
      </c>
      <c r="B33" s="4" t="inlineStr">
        <is>
          <t>SPA-BODY-02</t>
        </is>
      </c>
      <c r="C33" s="5" t="inlineStr">
        <is>
          <t>Ủ Khoáng Nóng Thảo Dược Núi Cao</t>
        </is>
      </c>
      <c r="D33" s="26" t="n">
        <v>1</v>
      </c>
      <c r="E33" s="24" t="inlineStr">
        <is>
          <t>INCLUDED</t>
        </is>
      </c>
      <c r="F33" s="5" t="inlineStr">
        <is>
          <t>Thời lượng: 60 phút/buổi. Thúc đẩy đốt mỡ thừa.</t>
        </is>
      </c>
    </row>
    <row r="34" ht="24" customHeight="1">
      <c r="A34" s="10" t="inlineStr">
        <is>
          <t>RET-VITAL-05</t>
        </is>
      </c>
      <c r="B34" s="10" t="inlineStr">
        <is>
          <t>SPA-HYDRO-01</t>
        </is>
      </c>
      <c r="C34" s="11" t="inlineStr">
        <is>
          <t>Thủy Trị Liệu Vòi Phun Vichy Shower</t>
        </is>
      </c>
      <c r="D34" s="27" t="n">
        <v>2</v>
      </c>
      <c r="E34" s="24" t="inlineStr">
        <is>
          <t>INCLUDED</t>
        </is>
      </c>
      <c r="F34" s="11" t="inlineStr">
        <is>
          <t>Thời lượng: 45 phút/buổi. Thủy liệu pháp săn chắc mô.</t>
        </is>
      </c>
    </row>
    <row r="35" ht="24" customHeight="1">
      <c r="A35" s="4" t="inlineStr">
        <is>
          <t>RET-VITAL-05</t>
        </is>
      </c>
      <c r="B35" s="4" t="inlineStr">
        <is>
          <t>SPA-YOGA-01</t>
        </is>
      </c>
      <c r="C35" s="5" t="inlineStr">
        <is>
          <t>Yoga Trị Liệu Chỉnh Trục Cột Sống 1-1</t>
        </is>
      </c>
      <c r="D35" s="26" t="n">
        <v>3</v>
      </c>
      <c r="E35" s="24" t="inlineStr">
        <is>
          <t>INCLUDED</t>
        </is>
      </c>
      <c r="F35" s="5" t="inlineStr">
        <is>
          <t>Thời lượng: 60 phút/buổi. Vận động tăng cường cơ bắp và đốt calo.</t>
        </is>
      </c>
    </row>
    <row r="36" ht="24" customHeight="1">
      <c r="A36" s="10" t="inlineStr">
        <is>
          <t>RET-VITAL-05</t>
        </is>
      </c>
      <c r="B36" s="10" t="inlineStr">
        <is>
          <t>SPA-YOGA-02</t>
        </is>
      </c>
      <c r="C36" s="11" t="inlineStr">
        <is>
          <t>Hít Thở Năng Lượng &amp; Thiền Định</t>
        </is>
      </c>
      <c r="D36" s="27" t="n">
        <v>2</v>
      </c>
      <c r="E36" s="24" t="inlineStr">
        <is>
          <t>INCLUDED</t>
        </is>
      </c>
      <c r="F36" s="11" t="inlineStr">
        <is>
          <t>Thời lượng: 60 phút/buổi. Cân bằng nhịp sinh học và trao đổi chất.</t>
        </is>
      </c>
    </row>
    <row r="37" ht="24" customHeight="1">
      <c r="A37" s="4" t="inlineStr">
        <is>
          <t>RET-MOM-03</t>
        </is>
      </c>
      <c r="B37" s="4" t="inlineStr">
        <is>
          <t>SPA-MASS-06</t>
        </is>
      </c>
      <c r="C37" s="5" t="inlineStr">
        <is>
          <t>Massage Mẹ Bầu An Yên</t>
        </is>
      </c>
      <c r="D37" s="26" t="n">
        <v>2</v>
      </c>
      <c r="E37" s="24" t="inlineStr">
        <is>
          <t>INCLUDED</t>
        </is>
      </c>
      <c r="F37" s="5" t="inlineStr">
        <is>
          <t>Thời lượng: 60 phút/buổi. Giảm tải áp lực cột sống cho thai phụ.</t>
        </is>
      </c>
    </row>
    <row r="38" ht="24" customHeight="1">
      <c r="A38" s="10" t="inlineStr">
        <is>
          <t>RET-MOM-03</t>
        </is>
      </c>
      <c r="B38" s="10" t="inlineStr">
        <is>
          <t>SPA-FACE-02</t>
        </is>
      </c>
      <c r="C38" s="11" t="inlineStr">
        <is>
          <t>Cấp Ẩm Phục Hồi Tế Bào Da</t>
        </is>
      </c>
      <c r="D38" s="27" t="n">
        <v>1</v>
      </c>
      <c r="E38" s="24" t="inlineStr">
        <is>
          <t>INCLUDED</t>
        </is>
      </c>
      <c r="F38" s="11" t="inlineStr">
        <is>
          <t>Thời lượng: 60 phút/buổi. Chăm sóc da an toàn thai kỳ.</t>
        </is>
      </c>
    </row>
    <row r="39" ht="24" customHeight="1">
      <c r="A39" s="4" t="inlineStr">
        <is>
          <t>RET-MOM-03</t>
        </is>
      </c>
      <c r="B39" s="4" t="inlineStr">
        <is>
          <t>SPA-HYDRO-02</t>
        </is>
      </c>
      <c r="C39" s="5" t="inlineStr">
        <is>
          <t>Ngâm Bồn Khoáng Thảo Dược Dao Đỏ</t>
        </is>
      </c>
      <c r="D39" s="26" t="n">
        <v>1</v>
      </c>
      <c r="E39" s="24" t="inlineStr">
        <is>
          <t>INCLUDED</t>
        </is>
      </c>
      <c r="F39" s="5" t="inlineStr">
        <is>
          <t>Thời lượng: 45 phút/buổi. Chỉ ngâm chân thảo dược giảm phù nề tĩnh mạch.</t>
        </is>
      </c>
    </row>
    <row r="40" ht="24" customHeight="1">
      <c r="A40" s="10" t="inlineStr">
        <is>
          <t>RET-MOM-03</t>
        </is>
      </c>
      <c r="B40" s="10" t="inlineStr">
        <is>
          <t>SPA-YOGA-02</t>
        </is>
      </c>
      <c r="C40" s="11" t="inlineStr">
        <is>
          <t>Hít Thở Năng Lượng &amp; Thiền Định</t>
        </is>
      </c>
      <c r="D40" s="27" t="n">
        <v>2</v>
      </c>
      <c r="E40" s="24" t="inlineStr">
        <is>
          <t>INCLUDED</t>
        </is>
      </c>
      <c r="F40" s="11" t="inlineStr">
        <is>
          <t>Thời lượng: 60 phút/buổi. Khí công &amp; thở tiền sản nhẹ nhàng.</t>
        </is>
      </c>
    </row>
    <row r="41">
      <c r="A41" s="16" t="inlineStr">
        <is>
          <t>TỔNG SỐ BUỔI TRỊ LIỆU QUYỀN LỢI TOÀN HỆ THỐNG</t>
        </is>
      </c>
      <c r="B41" s="17" t="n"/>
      <c r="C41" s="17" t="n"/>
      <c r="D41" s="28">
        <f>SUM(D5:D40)</f>
        <v/>
      </c>
      <c r="E41" s="19" t="n"/>
      <c r="F41" s="19" t="n"/>
    </row>
  </sheetData>
  <mergeCells count="3">
    <mergeCell ref="A2:F2"/>
    <mergeCell ref="A41:C4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
  <sheetViews>
    <sheetView showGridLines="1" workbookViewId="0">
      <pane ySplit="4" topLeftCell="A5" activePane="bottomLeft" state="frozen"/>
      <selection pane="bottomLeft" activeCell="A1" sqref="A1"/>
    </sheetView>
  </sheetViews>
  <sheetFormatPr baseColWidth="8" defaultRowHeight="15"/>
  <cols>
    <col width="16" customWidth="1" min="1" max="1"/>
    <col width="20" customWidth="1" min="2" max="2"/>
    <col width="16" customWidth="1" min="3" max="3"/>
    <col width="17" customWidth="1" min="4" max="4"/>
    <col width="16" customWidth="1" min="5" max="5"/>
    <col width="38" customWidth="1" min="6" max="6"/>
    <col width="48" customWidth="1" min="7" max="7"/>
    <col width="23" customWidth="1" min="8" max="8"/>
    <col width="48" customWidth="1" min="9" max="9"/>
  </cols>
  <sheetData>
    <row r="1">
      <c r="A1" s="1" t="inlineStr">
        <is>
          <t>BẢNG ĐỊNH MỨC QUYỀN LỢI DINH DƯỠNG &amp; F&amp;B (PACKAGE F&amp;B ENTITLEMENTS - MODULE 4) [SEED DATA]</t>
        </is>
      </c>
    </row>
    <row r="2">
      <c r="A2" s="2" t="inlineStr">
        <is>
          <t>Chuẩn hóa số lượng bữa ăn bóc tách sang trường số phục vụ M4 F&amp;B Management và kiểm soát suất ăn thực dưỡng</t>
        </is>
      </c>
    </row>
    <row r="3"/>
    <row r="4" ht="34" customHeight="1">
      <c r="A4" s="3" t="inlineStr">
        <is>
          <t>Mã Gói
(package_id)</t>
        </is>
      </c>
      <c r="B4" s="3" t="inlineStr">
        <is>
          <t>Bữa Sáng
(breakfast_count)</t>
        </is>
      </c>
      <c r="C4" s="3" t="inlineStr">
        <is>
          <t>Bữa Trưa
(lunch_count)</t>
        </is>
      </c>
      <c r="D4" s="3" t="inlineStr">
        <is>
          <t>Bữa Tối
(dinner_count)</t>
        </is>
      </c>
      <c r="E4" s="3" t="inlineStr">
        <is>
          <t>Tổng Số Bữa
(total_meals)</t>
        </is>
      </c>
      <c r="F4" s="3" t="inlineStr">
        <is>
          <t>Kế Hoạch Thực Đơn
(menu_plan)</t>
        </is>
      </c>
      <c r="G4" s="3" t="inlineStr">
        <is>
          <t>Ghi Chú Ăn Kiêng &amp; Dinh Dưỡng
(dietary_notes)</t>
        </is>
      </c>
      <c r="H4" s="3" t="inlineStr">
        <is>
          <t>Trạng Thái Quyền Lợi
(entitlement_status)</t>
        </is>
      </c>
      <c r="I4" s="3" t="inlineStr">
        <is>
          <t>Yêu Cầu Xác Nhận Module 4
(M4 Confirmation Request)</t>
        </is>
      </c>
    </row>
    <row r="5" ht="42" customHeight="1">
      <c r="A5" s="29" t="inlineStr">
        <is>
          <t>RET-DETOX-03</t>
        </is>
      </c>
      <c r="B5" s="7" t="n">
        <v>2</v>
      </c>
      <c r="C5" s="7" t="n">
        <v>2</v>
      </c>
      <c r="D5" s="7" t="n">
        <v>2</v>
      </c>
      <c r="E5" s="26">
        <f>B5+C5+D5</f>
        <v/>
      </c>
      <c r="F5" s="9" t="inlineStr">
        <is>
          <t>Detox Thanh Lọc Chuyên Sâu</t>
        </is>
      </c>
      <c r="G5" s="9" t="inlineStr">
        <is>
          <t>Plant-based 100%, 0% đường tinh luyện, nước ép cần tây hữu cơ &amp; trà thảo mộc</t>
        </is>
      </c>
      <c r="H5" s="24" t="inlineStr">
        <is>
          <t>APPROVED</t>
        </is>
      </c>
      <c r="I5" s="9" t="inlineStr">
        <is>
          <t>Đã xác nhận đủ dữ liệu seed M4.</t>
        </is>
      </c>
    </row>
    <row r="6" ht="42" customHeight="1">
      <c r="A6" s="29" t="inlineStr">
        <is>
          <t>RET-DETOX-05</t>
        </is>
      </c>
      <c r="B6" s="13" t="n">
        <v>4</v>
      </c>
      <c r="C6" s="13" t="n">
        <v>4</v>
      </c>
      <c r="D6" s="13" t="n">
        <v>4</v>
      </c>
      <c r="E6" s="27">
        <f>B6+C6+D6</f>
        <v/>
      </c>
      <c r="F6" s="15" t="inlineStr">
        <is>
          <t>Intermittent Fasting &amp; Clean Eating</t>
        </is>
      </c>
      <c r="G6" s="15" t="inlineStr">
        <is>
          <t>Sinh tố GI thấp, súp thanh nhiệt, giàu Magie, kiểm soát kiềm tính</t>
        </is>
      </c>
      <c r="H6" s="24" t="inlineStr">
        <is>
          <t>APPROVED</t>
        </is>
      </c>
      <c r="I6" s="15" t="inlineStr">
        <is>
          <t>Đã xác nhận 12 bữa chính xác theo lộ trình 5D4N.</t>
        </is>
      </c>
    </row>
    <row r="7" ht="42" customHeight="1">
      <c r="A7" s="29" t="inlineStr">
        <is>
          <t>RET-SLEEP-03</t>
        </is>
      </c>
      <c r="B7" s="7" t="n">
        <v>2</v>
      </c>
      <c r="C7" s="7" t="n">
        <v>2</v>
      </c>
      <c r="D7" s="7" t="n">
        <v>2</v>
      </c>
      <c r="E7" s="26">
        <f>B7+C7+D7</f>
        <v/>
      </c>
      <c r="F7" s="9" t="inlineStr">
        <is>
          <t>Thực Đơn Kích Hoạt Melatonin</t>
        </is>
      </c>
      <c r="G7" s="9" t="inlineStr">
        <is>
          <t>Giàu Tryptophan (Trứng organic, hạt óc chó, bơ), sữa hạt sen ấm trước 21h</t>
        </is>
      </c>
      <c r="H7" s="24" t="inlineStr">
        <is>
          <t>APPROVED</t>
        </is>
      </c>
      <c r="I7" s="9" t="inlineStr">
        <is>
          <t>Đã xác nhận đủ dữ liệu seed M4.</t>
        </is>
      </c>
    </row>
    <row r="8" ht="42" customHeight="1">
      <c r="A8" s="29" t="inlineStr">
        <is>
          <t>RET-STRESS-04</t>
        </is>
      </c>
      <c r="B8" s="13" t="n">
        <v>3</v>
      </c>
      <c r="C8" s="13" t="n">
        <v>3</v>
      </c>
      <c r="D8" s="13" t="n">
        <v>3</v>
      </c>
      <c r="E8" s="27">
        <f>B8+C8+D8</f>
        <v/>
      </c>
      <c r="F8" s="15" t="inlineStr">
        <is>
          <t>Set Menu Mind-Body Harmony</t>
        </is>
      </c>
      <c r="G8" s="15" t="inlineStr">
        <is>
          <t>Thực dưỡng bồi bổ khí huyết, cân bằng năng lượng âm dương, canh dưỡng tâm</t>
        </is>
      </c>
      <c r="H8" s="24" t="inlineStr">
        <is>
          <t>APPROVED</t>
        </is>
      </c>
      <c r="I8" s="15" t="inlineStr">
        <is>
          <t>Đã xác nhận đủ 9 bữa ăn cho kỳ nghỉ 4D3N.</t>
        </is>
      </c>
    </row>
    <row r="9" ht="42" customHeight="1">
      <c r="A9" s="29" t="inlineStr">
        <is>
          <t>RET-AGING-04</t>
        </is>
      </c>
      <c r="B9" s="7" t="n">
        <v>3</v>
      </c>
      <c r="C9" s="7" t="n">
        <v>3</v>
      </c>
      <c r="D9" s="7" t="n">
        <v>3</v>
      </c>
      <c r="E9" s="26">
        <f>B9+C9+D9</f>
        <v/>
      </c>
      <c r="F9" s="9" t="inlineStr">
        <is>
          <t>Thực Đơn Chống Oxy Hóa Cao</t>
        </is>
      </c>
      <c r="G9" s="9" t="inlineStr">
        <is>
          <t>Quả mọng berries, cá hồi áp chảo dầu ô-liu, giàu collagen tự nhiên &amp; nước hầm bổ</t>
        </is>
      </c>
      <c r="H9" s="24" t="inlineStr">
        <is>
          <t>APPROVED</t>
        </is>
      </c>
      <c r="I9" s="9" t="inlineStr">
        <is>
          <t>Đã xác nhận đủ 9 bữa ăn cho kỳ nghỉ 4D3N.</t>
        </is>
      </c>
    </row>
    <row r="10" ht="42" customHeight="1">
      <c r="A10" s="29" t="inlineStr">
        <is>
          <t>RET-ALIGN-03</t>
        </is>
      </c>
      <c r="B10" s="13" t="n">
        <v>2</v>
      </c>
      <c r="C10" s="13" t="n">
        <v>2</v>
      </c>
      <c r="D10" s="13" t="n">
        <v>2</v>
      </c>
      <c r="E10" s="27">
        <f>B10+C10+D10</f>
        <v/>
      </c>
      <c r="F10" s="15" t="inlineStr">
        <is>
          <t>Dinh Dưỡng Kháng Viêm Tự Nhiên</t>
        </is>
      </c>
      <c r="G10" s="15" t="inlineStr">
        <is>
          <t>Giàu Canxi hữu cơ, đạm thực vật, nghệ tươi &amp; gừng ấm phục hồi mô sụn</t>
        </is>
      </c>
      <c r="H10" s="24" t="inlineStr">
        <is>
          <t>APPROVED</t>
        </is>
      </c>
      <c r="I10" s="15" t="inlineStr">
        <is>
          <t>Đã xác nhận đủ 6 bữa ăn cho kỳ nghỉ 3D2N.</t>
        </is>
      </c>
    </row>
    <row r="11" ht="42" customHeight="1">
      <c r="A11" s="29" t="inlineStr">
        <is>
          <t>RET-VITAL-05</t>
        </is>
      </c>
      <c r="B11" s="7" t="n">
        <v>4</v>
      </c>
      <c r="C11" s="7" t="n">
        <v>4</v>
      </c>
      <c r="D11" s="7" t="n">
        <v>4</v>
      </c>
      <c r="E11" s="26">
        <f>B11+C11+D11</f>
        <v/>
      </c>
      <c r="F11" s="9" t="inlineStr">
        <is>
          <t>Macro-Balanced Calorie Deficit</t>
        </is>
      </c>
      <c r="G11" s="9" t="inlineStr">
        <is>
          <t>Khẩu phần định lượng 1.400 - 1.600 kcal/ngày, ít muối, giàu nạc hữu cơ</t>
        </is>
      </c>
      <c r="H11" s="24" t="inlineStr">
        <is>
          <t>APPROVED</t>
        </is>
      </c>
      <c r="I11" s="9" t="inlineStr">
        <is>
          <t>Đã xác nhận 12 bữa ăn định lượng khoa học cho 5D4N.</t>
        </is>
      </c>
    </row>
    <row r="12" ht="42" customHeight="1">
      <c r="A12" s="29" t="inlineStr">
        <is>
          <t>RET-MOM-03</t>
        </is>
      </c>
      <c r="B12" s="13" t="n">
        <v>2</v>
      </c>
      <c r="C12" s="13" t="n">
        <v>2</v>
      </c>
      <c r="D12" s="13" t="n">
        <v>2</v>
      </c>
      <c r="E12" s="27">
        <f>B12+C12+D12</f>
        <v/>
      </c>
      <c r="F12" s="15" t="inlineStr">
        <is>
          <t>Dinh Dưỡng An Thai Hữu Cơ</t>
        </is>
      </c>
      <c r="G12" s="15" t="inlineStr">
        <is>
          <t>Giàu Axit Folic, Sắt, Canxi &amp; DHA tự nhiên; loại bỏ 100% caffeine và gia vị kích thích</t>
        </is>
      </c>
      <c r="H12" s="25" t="inlineStr">
        <is>
          <t>PENDING_CONFIRMATION</t>
        </is>
      </c>
      <c r="I12" s="15" t="inlineStr">
        <is>
          <t>Cần M4 xác nhận quy tắc phục vụ: Gói 3D2N ghi '3 bữa/ngày' có bao gồm bữa trưa ngày check-in/out không? Tạm gán 6 bữa.</t>
        </is>
      </c>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showGridLines="1" workbookViewId="0">
      <pane ySplit="4" topLeftCell="A5" activePane="bottomLeft" state="frozen"/>
      <selection pane="bottomLeft" activeCell="A1" sqref="A1"/>
    </sheetView>
  </sheetViews>
  <sheetFormatPr baseColWidth="8" defaultRowHeight="15"/>
  <cols>
    <col width="31" customWidth="1" min="1" max="1"/>
    <col width="37" customWidth="1" min="2" max="2"/>
    <col width="48" customWidth="1" min="3" max="3"/>
    <col width="33" customWidth="1" min="4" max="4"/>
    <col width="34" customWidth="1" min="5" max="5"/>
    <col width="48" customWidth="1" min="6" max="6"/>
    <col width="25" customWidth="1" min="7" max="7"/>
  </cols>
  <sheetData>
    <row r="1">
      <c r="A1" s="1" t="inlineStr">
        <is>
          <t>DANH MỤC LOẠI PHÒNG, PHÒNG TRỊ LIỆU &amp; MA TRẬN TƯƠNG THÍCH (MODULE 3) [VERSION 3]</t>
        </is>
      </c>
    </row>
    <row r="2">
      <c r="A2" s="2" t="inlineStr">
        <is>
          <t>Thiết kế chuẩn hóa baseline cho thuật toán 2D Lock (Rule 12). Tách biệt hoàn toàn Danh mục Loại Phòng, Phòng Thực Tế và Ma Trận Tương Thích</t>
        </is>
      </c>
    </row>
    <row r="3"/>
    <row r="4" ht="24" customHeight="1">
      <c r="A4" s="30" t="inlineStr">
        <is>
          <t>BẢNG A: DANH MỤC 11 LOẠI PHÒNG CHUẨN HÓA (ROOM_TYPE_MASTER - BASELINE ĐÃ CHỐT)</t>
        </is>
      </c>
    </row>
    <row r="5" ht="34" customHeight="1">
      <c r="A5" s="3" t="inlineStr">
        <is>
          <t>Mã Loại Phòng (room_type)</t>
        </is>
      </c>
      <c r="B5" s="3" t="inlineStr">
        <is>
          <t>Tên Hiển Thị Tiếng Việt</t>
        </is>
      </c>
      <c r="C5" s="3" t="inlineStr">
        <is>
          <t>Mô Tả Không Gian &amp; Tiêu Chuẩn Kỹ Thuật</t>
        </is>
      </c>
      <c r="D5" s="3" t="inlineStr">
        <is>
          <t>Trạng Thái Thiết Kế</t>
        </is>
      </c>
    </row>
    <row r="6" ht="24" customHeight="1">
      <c r="A6" s="4" t="inlineStr">
        <is>
          <t>MASSAGE_STANDARD</t>
        </is>
      </c>
      <c r="B6" s="5" t="inlineStr">
        <is>
          <t>Phòng Massage Tiêu Chuẩn</t>
        </is>
      </c>
      <c r="C6" s="5" t="inlineStr">
        <is>
          <t>Phòng trị liệu body đơn tiêu chuẩn, giường massage cố định hoặc nâng hạ, rèm ngăn.</t>
        </is>
      </c>
      <c r="D6" s="21" t="inlineStr">
        <is>
          <t>DESIGN_APPROVED</t>
        </is>
      </c>
    </row>
    <row r="7" ht="24" customHeight="1">
      <c r="A7" s="10" t="inlineStr">
        <is>
          <t>MASSAGE_VIP</t>
        </is>
      </c>
      <c r="B7" s="11" t="inlineStr">
        <is>
          <t>Phòng Massage VIP</t>
        </is>
      </c>
      <c r="C7" s="11" t="inlineStr">
        <is>
          <t>Phòng VIP riêng tư cao cấp, trang bị bồn ngâm chân, bàn trang điểm, sofa thư giãn.</t>
        </is>
      </c>
      <c r="D7" s="21" t="inlineStr">
        <is>
          <t>DESIGN_APPROVED</t>
        </is>
      </c>
    </row>
    <row r="8" ht="24" customHeight="1">
      <c r="A8" s="4" t="inlineStr">
        <is>
          <t>FACIAL_SPECIALIZED</t>
        </is>
      </c>
      <c r="B8" s="5" t="inlineStr">
        <is>
          <t>Phòng Facial Chuyên Sâu</t>
        </is>
      </c>
      <c r="C8" s="5" t="inlineStr">
        <is>
          <t>Phòng chăm sóc da mặt chuyên dụng, trang bị máy điện di, máy soi da, máy phun oxy.</t>
        </is>
      </c>
      <c r="D8" s="21" t="inlineStr">
        <is>
          <t>DESIGN_APPROVED</t>
        </is>
      </c>
    </row>
    <row r="9" ht="24" customHeight="1">
      <c r="A9" s="10" t="inlineStr">
        <is>
          <t>SOUND_SANCTUARY</t>
        </is>
      </c>
      <c r="B9" s="11" t="inlineStr">
        <is>
          <t>Phòng Trị Liệu Âm Thanh</t>
        </is>
      </c>
      <c r="C9" s="11" t="inlineStr">
        <is>
          <t>Phòng thiền âm thanh thiết kế cách âm đặc biệt (Acoustically Isolated), tiêu âm vách.</t>
        </is>
      </c>
      <c r="D9" s="21" t="inlineStr">
        <is>
          <t>DESIGN_APPROVED</t>
        </is>
      </c>
    </row>
    <row r="10" ht="24" customHeight="1">
      <c r="A10" s="4" t="inlineStr">
        <is>
          <t>AYURVEDA_ROOM</t>
        </is>
      </c>
      <c r="B10" s="5" t="inlineStr">
        <is>
          <t>Phòng Trị Liệu Ayurveda</t>
        </is>
      </c>
      <c r="C10" s="5" t="inlineStr">
        <is>
          <t>Phòng thiết kế theo chuẩn Ayurveda cổ truyền, bàn gỗ Droni, chậu treo đồng nhỏ dầu.</t>
        </is>
      </c>
      <c r="D10" s="21" t="inlineStr">
        <is>
          <t>DESIGN_APPROVED</t>
        </is>
      </c>
    </row>
    <row r="11" ht="24" customHeight="1">
      <c r="A11" s="10" t="inlineStr">
        <is>
          <t>WET_ROOM</t>
        </is>
      </c>
      <c r="B11" s="11" t="inlineStr">
        <is>
          <t>Phòng Tắm Thủy Trị Liệu</t>
        </is>
      </c>
      <c r="C11" s="11" t="inlineStr">
        <is>
          <t>Phòng ướt lát đá chống trượt, vòi sen đứng áp lực, rãnh thoát nước nhanh cho body scrub.</t>
        </is>
      </c>
      <c r="D11" s="21" t="inlineStr">
        <is>
          <t>DESIGN_APPROVED</t>
        </is>
      </c>
    </row>
    <row r="12" ht="24" customHeight="1">
      <c r="A12" s="4" t="inlineStr">
        <is>
          <t>BODY_WRAP_ROOM</t>
        </is>
      </c>
      <c r="B12" s="5" t="inlineStr">
        <is>
          <t>Phòng Trị Liệu Quấn Cơ Thể</t>
        </is>
      </c>
      <c r="C12" s="5" t="inlineStr">
        <is>
          <t>Phòng quấn nóng bùn khoáng thảo dược, giường trị liệu có màng giữ nhiệt chuyên biệt.</t>
        </is>
      </c>
      <c r="D12" s="21" t="inlineStr">
        <is>
          <t>DESIGN_APPROVED</t>
        </is>
      </c>
    </row>
    <row r="13" ht="24" customHeight="1">
      <c r="A13" s="10" t="inlineStr">
        <is>
          <t>VICHY_SHOWER_ROOM</t>
        </is>
      </c>
      <c r="B13" s="11" t="inlineStr">
        <is>
          <t>Phòng Vichy Shower Chuyên Dụng</t>
        </is>
      </c>
      <c r="C13" s="11" t="inlineStr">
        <is>
          <t>Phòng lắp hệ thống giàn phun Vichy Shower 7 vòi điều áp nóng lạnh tuần hoàn.</t>
        </is>
      </c>
      <c r="D13" s="21" t="inlineStr">
        <is>
          <t>DESIGN_APPROVED</t>
        </is>
      </c>
    </row>
    <row r="14" ht="24" customHeight="1">
      <c r="A14" s="4" t="inlineStr">
        <is>
          <t>JACUZZI_ROOM</t>
        </is>
      </c>
      <c r="B14" s="5" t="inlineStr">
        <is>
          <t>Phòng Bồn Tắm Khoáng / Jacuzzi</t>
        </is>
      </c>
      <c r="C14" s="5" t="inlineStr">
        <is>
          <t>Phòng tắm thủy lực riêng biệt, trang bị bồn gỗ Pơ-mu tự nhiên hoặc bể sục Jacuzzi.</t>
        </is>
      </c>
      <c r="D14" s="21" t="inlineStr">
        <is>
          <t>DESIGN_APPROVED</t>
        </is>
      </c>
    </row>
    <row r="15" ht="24" customHeight="1">
      <c r="A15" s="10" t="inlineStr">
        <is>
          <t>YOGA_STUDIO</t>
        </is>
      </c>
      <c r="B15" s="11" t="inlineStr">
        <is>
          <t>Phòng Tập Yoga Trị Liệu</t>
        </is>
      </c>
      <c r="C15" s="11" t="inlineStr">
        <is>
          <t>Sàn gỗ tự nhiên, trang bị gương khổ lớn, thảm tập định tuyến, dây kháng lực, bóng yoga.</t>
        </is>
      </c>
      <c r="D15" s="21" t="inlineStr">
        <is>
          <t>DESIGN_APPROVED</t>
        </is>
      </c>
    </row>
    <row r="16" ht="24" customHeight="1">
      <c r="A16" s="4" t="inlineStr">
        <is>
          <t>MEDITATION_ROOM</t>
        </is>
      </c>
      <c r="B16" s="5" t="inlineStr">
        <is>
          <t>Phòng Thiền &amp; Chánh Niệm</t>
        </is>
      </c>
      <c r="C16" s="5" t="inlineStr">
        <is>
          <t>Không gian tĩnh lặng tuyệt đối, ánh sáng dịu nhẹ ấm áp, bồ đoàn đệm ngồi thiền cao cấp.</t>
        </is>
      </c>
      <c r="D16" s="21" t="inlineStr">
        <is>
          <t>DESIGN_APPROVED</t>
        </is>
      </c>
    </row>
    <row r="17"/>
    <row r="18"/>
    <row r="19" ht="24" customHeight="1">
      <c r="A19" s="30" t="inlineStr">
        <is>
          <t>BẢNG B: CẤU TRÚC PHÒNG TRỊ LIỆU THỰC TẾ (TREATMENT_ROOM_MASTER - CHỜ DỮ LIỆU KIỂM KÊ THỰC TẾ)</t>
        </is>
      </c>
    </row>
    <row r="20" ht="34" customHeight="1">
      <c r="A20" s="3" t="inlineStr">
        <is>
          <t>Mã Phòng (room_id)</t>
        </is>
      </c>
      <c r="B20" s="3" t="inlineStr">
        <is>
          <t>Tên Phòng (room_name)</t>
        </is>
      </c>
      <c r="C20" s="3" t="inlineStr">
        <is>
          <t>Loại Phòng (room_type)</t>
        </is>
      </c>
      <c r="D20" s="3" t="inlineStr">
        <is>
          <t>Trạng Thái Phòng (room_status)</t>
        </is>
      </c>
      <c r="E20" s="3" t="inlineStr">
        <is>
          <t>Thiết Bị Đi Kèm (room_features)</t>
        </is>
      </c>
      <c r="F20" s="3" t="inlineStr">
        <is>
          <t>Ghi Chú Vận Hành (notes)</t>
        </is>
      </c>
      <c r="G20" s="3" t="inlineStr">
        <is>
          <t>Trạng Thái Dữ Liệu</t>
        </is>
      </c>
    </row>
    <row r="21" ht="28" customHeight="1">
      <c r="A21" s="5" t="inlineStr">
        <is>
          <t>[TRỐNG - CHỜ KIỂM KÊ]</t>
        </is>
      </c>
      <c r="B21" s="5" t="inlineStr">
        <is>
          <t>[CHƯA CÓ TÊN]</t>
        </is>
      </c>
      <c r="C21" s="10" t="inlineStr">
        <is>
          <t>[CHƯA GÁN]</t>
        </is>
      </c>
      <c r="D21" s="22" t="inlineStr">
        <is>
          <t>PENDING_REAL_INVENTORY</t>
        </is>
      </c>
      <c r="E21" s="10" t="inlineStr">
        <is>
          <t>[CHƯA KIỂM KÊ]</t>
        </is>
      </c>
      <c r="F21" s="5" t="inlineStr">
        <is>
          <t>Resort chưa bàn giao danh sách phòng thực tế. Không tự bịa mã phòng giả.</t>
        </is>
      </c>
      <c r="G21" s="22" t="inlineStr">
        <is>
          <t>PENDING_REAL_INVENTORY</t>
        </is>
      </c>
    </row>
    <row r="22" ht="28" customHeight="1">
      <c r="A22" s="5" t="inlineStr">
        <is>
          <t>Lưu ý quy tắc room_status:</t>
        </is>
      </c>
      <c r="B22" s="5" t="inlineStr">
        <is>
          <t>Chỉ chấp nhận 3 giá trị vận hành:</t>
        </is>
      </c>
      <c r="C22" s="10" t="inlineStr">
        <is>
          <t>ACTIVE</t>
        </is>
      </c>
      <c r="D22" s="10" t="inlineStr">
        <is>
          <t>MAINTENANCE</t>
        </is>
      </c>
      <c r="E22" s="10" t="inlineStr">
        <is>
          <t>INACTIVE</t>
        </is>
      </c>
      <c r="F22" s="5" t="inlineStr">
        <is>
          <t>Không dùng AVAILABLE làm trạng thái tĩnh thay cho lịch rảnh thực tế.</t>
        </is>
      </c>
      <c r="G22" s="12" t="inlineStr">
        <is>
          <t>RULE_CONFIRMED</t>
        </is>
      </c>
    </row>
    <row r="23"/>
    <row r="24"/>
    <row r="25" ht="24" customHeight="1">
      <c r="A25" s="30" t="inlineStr">
        <is>
          <t>BẢNG C: MA TRẬN TƯƠNG THÍCH DỊCH VỤ &amp; LOẠI PHÒNG (TREATMENT_ROOM_COMPATIBILITY - ĐÃ CHỐT THIẾT KẾ)</t>
        </is>
      </c>
    </row>
    <row r="26" ht="34" customHeight="1">
      <c r="A26" s="3" t="inlineStr">
        <is>
          <t>Mã Liệu Trình (treatment_id)</t>
        </is>
      </c>
      <c r="B26" s="3" t="inlineStr">
        <is>
          <t>Loại Phòng Tương Thích (room_type)</t>
        </is>
      </c>
      <c r="C26" s="3" t="inlineStr">
        <is>
          <t>Thiết Bị / Điều Kiện Bắt Buộc (required_room_features)</t>
        </is>
      </c>
      <c r="D26" s="3" t="inlineStr">
        <is>
          <t>Trạng Thái Thiết Kế</t>
        </is>
      </c>
    </row>
    <row r="27" ht="22" customHeight="1">
      <c r="A27" s="4" t="inlineStr">
        <is>
          <t>SPA-MASS-01</t>
        </is>
      </c>
      <c r="B27" s="4" t="inlineStr">
        <is>
          <t>MASSAGE_STANDARD</t>
        </is>
      </c>
      <c r="C27" s="5" t="inlineStr">
        <is>
          <t>HEATED_STONE_TRAY</t>
        </is>
      </c>
      <c r="D27" s="21" t="inlineStr">
        <is>
          <t>DESIGN_APPROVED</t>
        </is>
      </c>
    </row>
    <row r="28" ht="22" customHeight="1">
      <c r="A28" s="10" t="inlineStr">
        <is>
          <t>SPA-MASS-01</t>
        </is>
      </c>
      <c r="B28" s="10" t="inlineStr">
        <is>
          <t>MASSAGE_VIP</t>
        </is>
      </c>
      <c r="C28" s="11" t="inlineStr">
        <is>
          <t>HEATED_STONE_TRAY</t>
        </is>
      </c>
      <c r="D28" s="21" t="inlineStr">
        <is>
          <t>DESIGN_APPROVED</t>
        </is>
      </c>
    </row>
    <row r="29" ht="22" customHeight="1">
      <c r="A29" s="4" t="inlineStr">
        <is>
          <t>SPA-MASS-02</t>
        </is>
      </c>
      <c r="B29" s="4" t="inlineStr">
        <is>
          <t>MASSAGE_STANDARD</t>
        </is>
      </c>
      <c r="C29" s="5" t="inlineStr">
        <is>
          <t>ADJUSTABLE_TREATMENT_BED</t>
        </is>
      </c>
      <c r="D29" s="21" t="inlineStr">
        <is>
          <t>DESIGN_APPROVED</t>
        </is>
      </c>
    </row>
    <row r="30" ht="22" customHeight="1">
      <c r="A30" s="10" t="inlineStr">
        <is>
          <t>SPA-MASS-02</t>
        </is>
      </c>
      <c r="B30" s="10" t="inlineStr">
        <is>
          <t>MASSAGE_VIP</t>
        </is>
      </c>
      <c r="C30" s="11" t="inlineStr">
        <is>
          <t>ADJUSTABLE_TREATMENT_BED</t>
        </is>
      </c>
      <c r="D30" s="21" t="inlineStr">
        <is>
          <t>DESIGN_APPROVED</t>
        </is>
      </c>
    </row>
    <row r="31" ht="22" customHeight="1">
      <c r="A31" s="4" t="inlineStr">
        <is>
          <t>SPA-MASS-03</t>
        </is>
      </c>
      <c r="B31" s="4" t="inlineStr">
        <is>
          <t>MASSAGE_STANDARD</t>
        </is>
      </c>
      <c r="C31" s="5" t="inlineStr">
        <is>
          <t>Không yêu cầu thêm</t>
        </is>
      </c>
      <c r="D31" s="21" t="inlineStr">
        <is>
          <t>DESIGN_APPROVED</t>
        </is>
      </c>
    </row>
    <row r="32" ht="22" customHeight="1">
      <c r="A32" s="10" t="inlineStr">
        <is>
          <t>SPA-MASS-03</t>
        </is>
      </c>
      <c r="B32" s="10" t="inlineStr">
        <is>
          <t>MASSAGE_VIP</t>
        </is>
      </c>
      <c r="C32" s="11" t="inlineStr">
        <is>
          <t>Không yêu cầu thêm</t>
        </is>
      </c>
      <c r="D32" s="21" t="inlineStr">
        <is>
          <t>DESIGN_APPROVED</t>
        </is>
      </c>
    </row>
    <row r="33" ht="22" customHeight="1">
      <c r="A33" s="4" t="inlineStr">
        <is>
          <t>SPA-MASS-04</t>
        </is>
      </c>
      <c r="B33" s="4" t="inlineStr">
        <is>
          <t>MASSAGE_STANDARD</t>
        </is>
      </c>
      <c r="C33" s="5" t="inlineStr">
        <is>
          <t>Không yêu cầu thêm</t>
        </is>
      </c>
      <c r="D33" s="21" t="inlineStr">
        <is>
          <t>DESIGN_APPROVED</t>
        </is>
      </c>
    </row>
    <row r="34" ht="22" customHeight="1">
      <c r="A34" s="10" t="inlineStr">
        <is>
          <t>SPA-MASS-04</t>
        </is>
      </c>
      <c r="B34" s="10" t="inlineStr">
        <is>
          <t>MASSAGE_VIP</t>
        </is>
      </c>
      <c r="C34" s="11" t="inlineStr">
        <is>
          <t>Không yêu cầu thêm</t>
        </is>
      </c>
      <c r="D34" s="21" t="inlineStr">
        <is>
          <t>DESIGN_APPROVED</t>
        </is>
      </c>
    </row>
    <row r="35" ht="22" customHeight="1">
      <c r="A35" s="4" t="inlineStr">
        <is>
          <t>SPA-MASS-05</t>
        </is>
      </c>
      <c r="B35" s="4" t="inlineStr">
        <is>
          <t>MASSAGE_STANDARD</t>
        </is>
      </c>
      <c r="C35" s="5" t="inlineStr">
        <is>
          <t>HERBAL_COMPRESS_STEAMER</t>
        </is>
      </c>
      <c r="D35" s="21" t="inlineStr">
        <is>
          <t>DESIGN_APPROVED</t>
        </is>
      </c>
    </row>
    <row r="36" ht="22" customHeight="1">
      <c r="A36" s="10" t="inlineStr">
        <is>
          <t>SPA-MASS-05</t>
        </is>
      </c>
      <c r="B36" s="10" t="inlineStr">
        <is>
          <t>MASSAGE_VIP</t>
        </is>
      </c>
      <c r="C36" s="11" t="inlineStr">
        <is>
          <t>HERBAL_COMPRESS_STEAMER</t>
        </is>
      </c>
      <c r="D36" s="21" t="inlineStr">
        <is>
          <t>DESIGN_APPROVED</t>
        </is>
      </c>
    </row>
    <row r="37" ht="22" customHeight="1">
      <c r="A37" s="4" t="inlineStr">
        <is>
          <t>SPA-MASS-06</t>
        </is>
      </c>
      <c r="B37" s="4" t="inlineStr">
        <is>
          <t>MASSAGE_VIP</t>
        </is>
      </c>
      <c r="C37" s="5" t="inlineStr">
        <is>
          <t>PRENATAL_U_PILLOW</t>
        </is>
      </c>
      <c r="D37" s="21" t="inlineStr">
        <is>
          <t>DESIGN_APPROVED</t>
        </is>
      </c>
    </row>
    <row r="38" ht="22" customHeight="1">
      <c r="A38" s="10" t="inlineStr">
        <is>
          <t>SPA-HEAL-01</t>
        </is>
      </c>
      <c r="B38" s="10" t="inlineStr">
        <is>
          <t>SOUND_SANCTUARY</t>
        </is>
      </c>
      <c r="C38" s="11" t="inlineStr">
        <is>
          <t>ACOUSTICALLY_ISOLATED</t>
        </is>
      </c>
      <c r="D38" s="21" t="inlineStr">
        <is>
          <t>DESIGN_APPROVED</t>
        </is>
      </c>
    </row>
    <row r="39" ht="22" customHeight="1">
      <c r="A39" s="4" t="inlineStr">
        <is>
          <t>SPA-HEAL-02</t>
        </is>
      </c>
      <c r="B39" s="4" t="inlineStr">
        <is>
          <t>AYURVEDA_ROOM</t>
        </is>
      </c>
      <c r="C39" s="5" t="inlineStr">
        <is>
          <t>DRONI_TABLE, HANGING_BOWL</t>
        </is>
      </c>
      <c r="D39" s="21" t="inlineStr">
        <is>
          <t>DESIGN_APPROVED</t>
        </is>
      </c>
    </row>
    <row r="40" ht="22" customHeight="1">
      <c r="A40" s="10" t="inlineStr">
        <is>
          <t>SPA-HEAL-03</t>
        </is>
      </c>
      <c r="B40" s="10" t="inlineStr">
        <is>
          <t>MASSAGE_STANDARD</t>
        </is>
      </c>
      <c r="C40" s="11" t="inlineStr">
        <is>
          <t>Không yêu cầu thêm</t>
        </is>
      </c>
      <c r="D40" s="21" t="inlineStr">
        <is>
          <t>DESIGN_APPROVED</t>
        </is>
      </c>
    </row>
    <row r="41" ht="22" customHeight="1">
      <c r="A41" s="4" t="inlineStr">
        <is>
          <t>SPA-HEAL-03</t>
        </is>
      </c>
      <c r="B41" s="4" t="inlineStr">
        <is>
          <t>MASSAGE_VIP</t>
        </is>
      </c>
      <c r="C41" s="5" t="inlineStr">
        <is>
          <t>Không yêu cầu thêm</t>
        </is>
      </c>
      <c r="D41" s="21" t="inlineStr">
        <is>
          <t>DESIGN_APPROVED</t>
        </is>
      </c>
    </row>
    <row r="42" ht="22" customHeight="1">
      <c r="A42" s="10" t="inlineStr">
        <is>
          <t>SPA-FACE-01</t>
        </is>
      </c>
      <c r="B42" s="10" t="inlineStr">
        <is>
          <t>FACIAL_SPECIALIZED</t>
        </is>
      </c>
      <c r="C42" s="11" t="inlineStr">
        <is>
          <t>Không yêu cầu thêm</t>
        </is>
      </c>
      <c r="D42" s="21" t="inlineStr">
        <is>
          <t>DESIGN_APPROVED</t>
        </is>
      </c>
    </row>
    <row r="43" ht="22" customHeight="1">
      <c r="A43" s="4" t="inlineStr">
        <is>
          <t>SPA-FACE-02</t>
        </is>
      </c>
      <c r="B43" s="4" t="inlineStr">
        <is>
          <t>FACIAL_SPECIALIZED</t>
        </is>
      </c>
      <c r="C43" s="5" t="inlineStr">
        <is>
          <t>ELECTROPHORESIS_DEVICE</t>
        </is>
      </c>
      <c r="D43" s="21" t="inlineStr">
        <is>
          <t>DESIGN_APPROVED</t>
        </is>
      </c>
    </row>
    <row r="44" ht="22" customHeight="1">
      <c r="A44" s="10" t="inlineStr">
        <is>
          <t>SPA-FACE-03</t>
        </is>
      </c>
      <c r="B44" s="10" t="inlineStr">
        <is>
          <t>FACIAL_SPECIALIZED</t>
        </is>
      </c>
      <c r="C44" s="11" t="inlineStr">
        <is>
          <t>OXYGEN_SPRAY_MACHINE</t>
        </is>
      </c>
      <c r="D44" s="21" t="inlineStr">
        <is>
          <t>DESIGN_APPROVED</t>
        </is>
      </c>
    </row>
    <row r="45" ht="22" customHeight="1">
      <c r="A45" s="4" t="inlineStr">
        <is>
          <t>SPA-BODY-01</t>
        </is>
      </c>
      <c r="B45" s="4" t="inlineStr">
        <is>
          <t>WET_ROOM</t>
        </is>
      </c>
      <c r="C45" s="5" t="inlineStr">
        <is>
          <t>STANDING_SHOWER</t>
        </is>
      </c>
      <c r="D45" s="21" t="inlineStr">
        <is>
          <t>DESIGN_APPROVED</t>
        </is>
      </c>
    </row>
    <row r="46" ht="22" customHeight="1">
      <c r="A46" s="10" t="inlineStr">
        <is>
          <t>SPA-BODY-02</t>
        </is>
      </c>
      <c r="B46" s="10" t="inlineStr">
        <is>
          <t>BODY_WRAP_ROOM</t>
        </is>
      </c>
      <c r="C46" s="11" t="inlineStr">
        <is>
          <t>HEATED_WRAP_BED</t>
        </is>
      </c>
      <c r="D46" s="21" t="inlineStr">
        <is>
          <t>DESIGN_APPROVED</t>
        </is>
      </c>
    </row>
    <row r="47" ht="22" customHeight="1">
      <c r="A47" s="4" t="inlineStr">
        <is>
          <t>SPA-HYDRO-01</t>
        </is>
      </c>
      <c r="B47" s="4" t="inlineStr">
        <is>
          <t>VICHY_SHOWER_ROOM</t>
        </is>
      </c>
      <c r="C47" s="5" t="inlineStr">
        <is>
          <t>VICHY_7_NOZZLE_SYSTEM</t>
        </is>
      </c>
      <c r="D47" s="21" t="inlineStr">
        <is>
          <t>DESIGN_APPROVED</t>
        </is>
      </c>
    </row>
    <row r="48" ht="22" customHeight="1">
      <c r="A48" s="10" t="inlineStr">
        <is>
          <t>SPA-HYDRO-02</t>
        </is>
      </c>
      <c r="B48" s="10" t="inlineStr">
        <is>
          <t>JACUZZI_ROOM</t>
        </is>
      </c>
      <c r="C48" s="11" t="inlineStr">
        <is>
          <t>PRIVATE_JACUZZI</t>
        </is>
      </c>
      <c r="D48" s="21" t="inlineStr">
        <is>
          <t>DESIGN_APPROVED</t>
        </is>
      </c>
    </row>
    <row r="49" ht="22" customHeight="1">
      <c r="A49" s="4" t="inlineStr">
        <is>
          <t>SPA-YOGA-01</t>
        </is>
      </c>
      <c r="B49" s="4" t="inlineStr">
        <is>
          <t>YOGA_STUDIO</t>
        </is>
      </c>
      <c r="C49" s="5" t="inlineStr">
        <is>
          <t>Không yêu cầu thêm</t>
        </is>
      </c>
      <c r="D49" s="21" t="inlineStr">
        <is>
          <t>DESIGN_APPROVED</t>
        </is>
      </c>
    </row>
    <row r="50" ht="22" customHeight="1">
      <c r="A50" s="10" t="inlineStr">
        <is>
          <t>SPA-YOGA-02</t>
        </is>
      </c>
      <c r="B50" s="10" t="inlineStr">
        <is>
          <t>MEDITATION_ROOM</t>
        </is>
      </c>
      <c r="C50" s="11" t="inlineStr">
        <is>
          <t>QUIET_MEDITATION_SPACE</t>
        </is>
      </c>
      <c r="D50" s="21" t="inlineStr">
        <is>
          <t>DESIGN_APPROVED</t>
        </is>
      </c>
    </row>
  </sheetData>
  <mergeCells count="5">
    <mergeCell ref="A1:G1"/>
    <mergeCell ref="A4:D4"/>
    <mergeCell ref="A2:G2"/>
    <mergeCell ref="A25:D25"/>
    <mergeCell ref="A19:G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0"/>
  <sheetViews>
    <sheetView showGridLines="1" workbookViewId="0">
      <pane ySplit="4" topLeftCell="A5" activePane="bottomLeft" state="frozen"/>
      <selection pane="bottomLeft" activeCell="A1" sqref="A1"/>
    </sheetView>
  </sheetViews>
  <sheetFormatPr baseColWidth="8" defaultRowHeight="15"/>
  <cols>
    <col width="36" customWidth="1" min="1" max="1"/>
    <col width="48" customWidth="1" min="2" max="2"/>
    <col width="48" customWidth="1" min="3" max="3"/>
    <col width="37" customWidth="1" min="4" max="4"/>
    <col width="21" customWidth="1" min="5" max="5"/>
  </cols>
  <sheetData>
    <row r="1">
      <c r="A1" s="1" t="inlineStr">
        <is>
          <t>DANH MỤC CHỨNG CHỈ KỸ THUẬT VIÊN &amp; MA TRẬN NĂNG LỰC (MODULE 3) [VERSION 3]</t>
        </is>
      </c>
    </row>
    <row r="2">
      <c r="A2" s="2" t="inlineStr">
        <is>
          <t>Mô hình mã hóa chứng chỉ nội bộ phục vụ Rule 11 (Therapist Qualification). Tách biệt Chứng chỉ chuẩn, Mapping dịch vụ và Hồ sơ KTV thực tế</t>
        </is>
      </c>
    </row>
    <row r="3"/>
    <row r="4" ht="24" customHeight="1">
      <c r="A4" s="30" t="inlineStr">
        <is>
          <t>BẢNG A: DANH MỤC 18 MÃ CHỨNG CHỈ NỘI BỘ CHUẨN HÓA (QUALIFICATION_MASTER)</t>
        </is>
      </c>
    </row>
    <row r="5" ht="34" customHeight="1">
      <c r="A5" s="3" t="inlineStr">
        <is>
          <t>Mã Chứng Chỉ (qualification_code)</t>
        </is>
      </c>
      <c r="B5" s="3" t="inlineStr">
        <is>
          <t>Tên Hiển Thị Chứng Chỉ / Năng Lực</t>
        </is>
      </c>
      <c r="C5" s="3" t="inlineStr">
        <is>
          <t>Trạng Thái Baseline</t>
        </is>
      </c>
    </row>
    <row r="6" ht="22" customHeight="1">
      <c r="A6" s="4" t="inlineStr">
        <is>
          <t>QUAL_HOT_STONE_MASSAGE</t>
        </is>
      </c>
      <c r="B6" s="5" t="inlineStr">
        <is>
          <t>Chứng chỉ Body Therapy &amp; Massage Đá Nóng</t>
        </is>
      </c>
      <c r="C6" s="21" t="inlineStr">
        <is>
          <t>DESIGN_APPROVED</t>
        </is>
      </c>
    </row>
    <row r="7" ht="22" customHeight="1">
      <c r="A7" s="10" t="inlineStr">
        <is>
          <t>QUAL_DEEP_TISSUE_TRIGGER_POINT</t>
        </is>
      </c>
      <c r="B7" s="11" t="inlineStr">
        <is>
          <t>Chứng chỉ Trị liệu Cơ xương khớp &amp; Điểm kích hoạt Trigger Point</t>
        </is>
      </c>
      <c r="C7" s="21" t="inlineStr">
        <is>
          <t>DESIGN_APPROVED</t>
        </is>
      </c>
    </row>
    <row r="8" ht="22" customHeight="1">
      <c r="A8" s="4" t="inlineStr">
        <is>
          <t>QUAL_MANUAL_LYMPHATIC_DRAINAGE</t>
        </is>
      </c>
      <c r="B8" s="5" t="inlineStr">
        <is>
          <t>Chứng chỉ Kỹ thuật Dẫn lưu Bạch huyết (MLD Certified)</t>
        </is>
      </c>
      <c r="C8" s="21" t="inlineStr">
        <is>
          <t>DESIGN_APPROVED</t>
        </is>
      </c>
    </row>
    <row r="9" ht="22" customHeight="1">
      <c r="A9" s="10" t="inlineStr">
        <is>
          <t>QUAL_TRADITIONAL_ACUPRESSURE</t>
        </is>
      </c>
      <c r="B9" s="11" t="inlineStr">
        <is>
          <t>Chứng chỉ Y học Cổ truyền / Xoa bóp bấm huyệt trị liệu</t>
        </is>
      </c>
      <c r="C9" s="21" t="inlineStr">
        <is>
          <t>DESIGN_APPROVED</t>
        </is>
      </c>
    </row>
    <row r="10" ht="22" customHeight="1">
      <c r="A10" s="4" t="inlineStr">
        <is>
          <t>QUAL_HERBAL_COMPRESS_THERAPY</t>
        </is>
      </c>
      <c r="B10" s="5" t="inlineStr">
        <is>
          <t>Chứng chỉ Thảo mộc học &amp; Trị liệu túi chườm thuốc cổ truyền</t>
        </is>
      </c>
      <c r="C10" s="21" t="inlineStr">
        <is>
          <t>DESIGN_APPROVED</t>
        </is>
      </c>
    </row>
    <row r="11" ht="22" customHeight="1">
      <c r="A11" s="10" t="inlineStr">
        <is>
          <t>QUAL_PRENATAL_MASSAGE</t>
        </is>
      </c>
      <c r="B11" s="11" t="inlineStr">
        <is>
          <t>Chứng chỉ Chăm sóc &amp; Massage Thai kỳ Quốc tế (Prenatal Certified)</t>
        </is>
      </c>
      <c r="C11" s="21" t="inlineStr">
        <is>
          <t>DESIGN_APPROVED</t>
        </is>
      </c>
    </row>
    <row r="12" ht="22" customHeight="1">
      <c r="A12" s="4" t="inlineStr">
        <is>
          <t>QUAL_TIBETAN_SOUND_HEALING</t>
        </is>
      </c>
      <c r="B12" s="5" t="inlineStr">
        <is>
          <t>Chứng chỉ Master Chuông xoay Tây Tạng (Sound Healing Practitioner)</t>
        </is>
      </c>
      <c r="C12" s="21" t="inlineStr">
        <is>
          <t>DESIGN_APPROVED</t>
        </is>
      </c>
    </row>
    <row r="13" ht="22" customHeight="1">
      <c r="A13" s="10" t="inlineStr">
        <is>
          <t>QUAL_AYURVEDA_SHIRODHARA</t>
        </is>
      </c>
      <c r="B13" s="11" t="inlineStr">
        <is>
          <t>Chứng chỉ Liệu trình Trị liệu Cổ truyền Ayurveda Practitioner</t>
        </is>
      </c>
      <c r="C13" s="21" t="inlineStr">
        <is>
          <t>DESIGN_APPROVED</t>
        </is>
      </c>
    </row>
    <row r="14" ht="22" customHeight="1">
      <c r="A14" s="4" t="inlineStr">
        <is>
          <t>QUAL_CHI_NEI_TSANG</t>
        </is>
      </c>
      <c r="B14" s="5" t="inlineStr">
        <is>
          <t>Chứng chỉ Khí công &amp; Massage Nội tạng Chi Nei Tsang Practitioner</t>
        </is>
      </c>
      <c r="C14" s="21" t="inlineStr">
        <is>
          <t>DESIGN_APPROVED</t>
        </is>
      </c>
    </row>
    <row r="15" ht="22" customHeight="1">
      <c r="A15" s="10" t="inlineStr">
        <is>
          <t>QUAL_FACIAL_GUASHA</t>
        </is>
      </c>
      <c r="B15" s="11" t="inlineStr">
        <is>
          <t>Chứng chỉ Thẩm mỹ Da liễu &amp; Kỹ thuật Nâng cơ Guasha Ngọc thạch</t>
        </is>
      </c>
      <c r="C15" s="21" t="inlineStr">
        <is>
          <t>DESIGN_APPROVED</t>
        </is>
      </c>
    </row>
    <row r="16" ht="22" customHeight="1">
      <c r="A16" s="4" t="inlineStr">
        <is>
          <t>QUAL_ADVANCED_SKINCARE</t>
        </is>
      </c>
      <c r="B16" s="5" t="inlineStr">
        <is>
          <t>Chứng chỉ Chăm sóc Da Liễu Cơ bản &amp; Nâng cao (Skincare Specialist)</t>
        </is>
      </c>
      <c r="C16" s="21" t="inlineStr">
        <is>
          <t>DESIGN_APPROVED</t>
        </is>
      </c>
    </row>
    <row r="17" ht="22" customHeight="1">
      <c r="A17" s="10" t="inlineStr">
        <is>
          <t>QUAL_ADVANCED_FACIAL_AESTHETICS</t>
        </is>
      </c>
      <c r="B17" s="11" t="inlineStr">
        <is>
          <t>Chứng chỉ Trị liệu Tế bào &amp; Thẩm mỹ Da mặt Chuyên sâu</t>
        </is>
      </c>
      <c r="C17" s="21" t="inlineStr">
        <is>
          <t>DESIGN_APPROVED</t>
        </is>
      </c>
    </row>
    <row r="18" ht="22" customHeight="1">
      <c r="A18" s="4" t="inlineStr">
        <is>
          <t>QUAL_BODY_SCRUB_POLISH</t>
        </is>
      </c>
      <c r="B18" s="5" t="inlineStr">
        <is>
          <t>Chứng chỉ Chăm sóc &amp; Thanh tẩy Tế bào chết Toàn thân (Body Scrub)</t>
        </is>
      </c>
      <c r="C18" s="21" t="inlineStr">
        <is>
          <t>DESIGN_APPROVED</t>
        </is>
      </c>
    </row>
    <row r="19" ht="22" customHeight="1">
      <c r="A19" s="10" t="inlineStr">
        <is>
          <t>QUAL_BODY_WRAP_THERMAL</t>
        </is>
      </c>
      <c r="B19" s="11" t="inlineStr">
        <is>
          <t>Chứng chỉ Quấn nóng Bùn khoáng &amp; Liệu pháp Nhiệt Thải độc</t>
        </is>
      </c>
      <c r="C19" s="21" t="inlineStr">
        <is>
          <t>DESIGN_APPROVED</t>
        </is>
      </c>
    </row>
    <row r="20" ht="22" customHeight="1">
      <c r="A20" s="4" t="inlineStr">
        <is>
          <t>QUAL_HYDROTHERAPY</t>
        </is>
      </c>
      <c r="B20" s="5" t="inlineStr">
        <is>
          <t>Chứng chỉ Kỹ thuật viên Thủy Liệu Pháp Chuyên nghiệp (Hydrotherapist)</t>
        </is>
      </c>
      <c r="C20" s="21" t="inlineStr">
        <is>
          <t>DESIGN_APPROVED</t>
        </is>
      </c>
    </row>
    <row r="21" ht="22" customHeight="1">
      <c r="A21" s="10" t="inlineStr">
        <is>
          <t>QUAL_YOGA_THERAPY_RYT200_500</t>
        </is>
      </c>
      <c r="B21" s="11" t="inlineStr">
        <is>
          <t>Bằng Huấn luyện viên Yoga Alliance RYT 200/500h (Yoga Trị liệu)</t>
        </is>
      </c>
      <c r="C21" s="21" t="inlineStr">
        <is>
          <t>DESIGN_APPROVED</t>
        </is>
      </c>
    </row>
    <row r="22" ht="22" customHeight="1">
      <c r="A22" s="4" t="inlineStr">
        <is>
          <t>QUAL_MINDFULNESS_COACH</t>
        </is>
      </c>
      <c r="B22" s="5" t="inlineStr">
        <is>
          <t>Chứng chỉ Giảng viên Thiền &amp; Khí công Chánh niệm (Mindfulness Coach)</t>
        </is>
      </c>
      <c r="C22" s="21" t="inlineStr">
        <is>
          <t>DESIGN_APPROVED</t>
        </is>
      </c>
    </row>
    <row r="23"/>
    <row r="24"/>
    <row r="25" ht="24" customHeight="1">
      <c r="A25" s="30" t="inlineStr">
        <is>
          <t>BẢNG B: MA TRẬN YÊU CẦU CHỨNG CHỈ THEO DỊCH VỤ (TREATMENT_REQUIRED_QUALIFICATION - ĐÃ CHỐT THIẾT KẾ)</t>
        </is>
      </c>
    </row>
    <row r="26" ht="34" customHeight="1">
      <c r="A26" s="3" t="inlineStr">
        <is>
          <t>Mã Liệu Trình (treatment_id)</t>
        </is>
      </c>
      <c r="B26" s="3" t="inlineStr">
        <is>
          <t>Tên Liệu Trình (Tham Chiếu)</t>
        </is>
      </c>
      <c r="C26" s="3" t="inlineStr">
        <is>
          <t>Mã Chứng Chỉ Yêu Cầu (required_qualification_code)</t>
        </is>
      </c>
      <c r="D26" s="3" t="inlineStr">
        <is>
          <t>Trạng Thái Thiết Kế</t>
        </is>
      </c>
    </row>
    <row r="27" ht="22" customHeight="1">
      <c r="A27" s="4" t="inlineStr">
        <is>
          <t>SPA-MASS-01</t>
        </is>
      </c>
      <c r="B27" s="5" t="inlineStr">
        <is>
          <t>Massage Đá Nóng Núi Lửa Himalaya</t>
        </is>
      </c>
      <c r="C27" s="4" t="inlineStr">
        <is>
          <t>QUAL_HOT_STONE_MASSAGE</t>
        </is>
      </c>
      <c r="D27" s="21" t="inlineStr">
        <is>
          <t>DESIGN_APPROVED</t>
        </is>
      </c>
    </row>
    <row r="28" ht="22" customHeight="1">
      <c r="A28" s="10" t="inlineStr">
        <is>
          <t>SPA-MASS-02</t>
        </is>
      </c>
      <c r="B28" s="11" t="inlineStr">
        <is>
          <t>Massage Cơ Sâu Bấm Huyệt Deep Tissue</t>
        </is>
      </c>
      <c r="C28" s="10" t="inlineStr">
        <is>
          <t>QUAL_DEEP_TISSUE_TRIGGER_POINT</t>
        </is>
      </c>
      <c r="D28" s="21" t="inlineStr">
        <is>
          <t>DESIGN_APPROVED</t>
        </is>
      </c>
    </row>
    <row r="29" ht="22" customHeight="1">
      <c r="A29" s="4" t="inlineStr">
        <is>
          <t>SPA-MASS-03</t>
        </is>
      </c>
      <c r="B29" s="5" t="inlineStr">
        <is>
          <t>Trị Liệu Dẫn Lưu Bạch Huyết</t>
        </is>
      </c>
      <c r="C29" s="4" t="inlineStr">
        <is>
          <t>QUAL_MANUAL_LYMPHATIC_DRAINAGE</t>
        </is>
      </c>
      <c r="D29" s="21" t="inlineStr">
        <is>
          <t>DESIGN_APPROVED</t>
        </is>
      </c>
    </row>
    <row r="30" ht="22" customHeight="1">
      <c r="A30" s="10" t="inlineStr">
        <is>
          <t>SPA-MASS-04</t>
        </is>
      </c>
      <c r="B30" s="11" t="inlineStr">
        <is>
          <t>Bấm Huyệt Y Học Cổ Truyền</t>
        </is>
      </c>
      <c r="C30" s="10" t="inlineStr">
        <is>
          <t>QUAL_TRADITIONAL_ACUPRESSURE</t>
        </is>
      </c>
      <c r="D30" s="21" t="inlineStr">
        <is>
          <t>DESIGN_APPROVED</t>
        </is>
      </c>
    </row>
    <row r="31" ht="22" customHeight="1">
      <c r="A31" s="4" t="inlineStr">
        <is>
          <t>SPA-MASS-05</t>
        </is>
      </c>
      <c r="B31" s="5" t="inlineStr">
        <is>
          <t>Trị Liệu Thảo Dược Cổ Truyền</t>
        </is>
      </c>
      <c r="C31" s="4" t="inlineStr">
        <is>
          <t>QUAL_HERBAL_COMPRESS_THERAPY</t>
        </is>
      </c>
      <c r="D31" s="21" t="inlineStr">
        <is>
          <t>DESIGN_APPROVED</t>
        </is>
      </c>
    </row>
    <row r="32" ht="22" customHeight="1">
      <c r="A32" s="10" t="inlineStr">
        <is>
          <t>SPA-MASS-06</t>
        </is>
      </c>
      <c r="B32" s="11" t="inlineStr">
        <is>
          <t>Massage Mẹ Bầu An Yên</t>
        </is>
      </c>
      <c r="C32" s="10" t="inlineStr">
        <is>
          <t>QUAL_PRENATAL_MASSAGE</t>
        </is>
      </c>
      <c r="D32" s="21" t="inlineStr">
        <is>
          <t>DESIGN_APPROVED</t>
        </is>
      </c>
    </row>
    <row r="33" ht="22" customHeight="1">
      <c r="A33" s="4" t="inlineStr">
        <is>
          <t>SPA-HEAL-01</t>
        </is>
      </c>
      <c r="B33" s="5" t="inlineStr">
        <is>
          <t>Liệu Pháp Chuông Xoay Tây Tạng</t>
        </is>
      </c>
      <c r="C33" s="4" t="inlineStr">
        <is>
          <t>QUAL_TIBETAN_SOUND_HEALING</t>
        </is>
      </c>
      <c r="D33" s="21" t="inlineStr">
        <is>
          <t>DESIGN_APPROVED</t>
        </is>
      </c>
    </row>
    <row r="34" ht="22" customHeight="1">
      <c r="A34" s="10" t="inlineStr">
        <is>
          <t>SPA-HEAL-02</t>
        </is>
      </c>
      <c r="B34" s="11" t="inlineStr">
        <is>
          <t>Nhỏ Dầu Ấm Luân Xa Trán Shirodhara</t>
        </is>
      </c>
      <c r="C34" s="10" t="inlineStr">
        <is>
          <t>QUAL_AYURVEDA_SHIRODHARA</t>
        </is>
      </c>
      <c r="D34" s="21" t="inlineStr">
        <is>
          <t>DESIGN_APPROVED</t>
        </is>
      </c>
    </row>
    <row r="35" ht="22" customHeight="1">
      <c r="A35" s="4" t="inlineStr">
        <is>
          <t>SPA-HEAL-03</t>
        </is>
      </c>
      <c r="B35" s="5" t="inlineStr">
        <is>
          <t>Bấm Huyệt Thải Độc Bụng Chi Nei Tsang</t>
        </is>
      </c>
      <c r="C35" s="4" t="inlineStr">
        <is>
          <t>QUAL_CHI_NEI_TSANG</t>
        </is>
      </c>
      <c r="D35" s="21" t="inlineStr">
        <is>
          <t>DESIGN_APPROVED</t>
        </is>
      </c>
    </row>
    <row r="36" ht="22" customHeight="1">
      <c r="A36" s="10" t="inlineStr">
        <is>
          <t>SPA-FACE-01</t>
        </is>
      </c>
      <c r="B36" s="11" t="inlineStr">
        <is>
          <t>Nâng Cơ Mặt Guasha Ngọc Thạch</t>
        </is>
      </c>
      <c r="C36" s="10" t="inlineStr">
        <is>
          <t>QUAL_FACIAL_GUASHA</t>
        </is>
      </c>
      <c r="D36" s="21" t="inlineStr">
        <is>
          <t>DESIGN_APPROVED</t>
        </is>
      </c>
    </row>
    <row r="37" ht="22" customHeight="1">
      <c r="A37" s="4" t="inlineStr">
        <is>
          <t>SPA-FACE-02</t>
        </is>
      </c>
      <c r="B37" s="5" t="inlineStr">
        <is>
          <t>Cấp Ẩm Phục Hồi Tế Bào Da</t>
        </is>
      </c>
      <c r="C37" s="4" t="inlineStr">
        <is>
          <t>QUAL_ADVANCED_SKINCARE</t>
        </is>
      </c>
      <c r="D37" s="21" t="inlineStr">
        <is>
          <t>DESIGN_APPROVED</t>
        </is>
      </c>
    </row>
    <row r="38" ht="22" customHeight="1">
      <c r="A38" s="10" t="inlineStr">
        <is>
          <t>SPA-FACE-03</t>
        </is>
      </c>
      <c r="B38" s="11" t="inlineStr">
        <is>
          <t>Trẻ Hóa Tế Bào Tảo Biển Hữu Cơ</t>
        </is>
      </c>
      <c r="C38" s="10" t="inlineStr">
        <is>
          <t>QUAL_ADVANCED_FACIAL_AESTHETICS</t>
        </is>
      </c>
      <c r="D38" s="21" t="inlineStr">
        <is>
          <t>DESIGN_APPROVED</t>
        </is>
      </c>
    </row>
    <row r="39" ht="22" customHeight="1">
      <c r="A39" s="4" t="inlineStr">
        <is>
          <t>SPA-BODY-01</t>
        </is>
      </c>
      <c r="B39" s="5" t="inlineStr">
        <is>
          <t>Tẩy Tế Bào Chết Cà Phê &amp; Dừa</t>
        </is>
      </c>
      <c r="C39" s="4" t="inlineStr">
        <is>
          <t>QUAL_BODY_SCRUB_POLISH</t>
        </is>
      </c>
      <c r="D39" s="21" t="inlineStr">
        <is>
          <t>DESIGN_APPROVED</t>
        </is>
      </c>
    </row>
    <row r="40" ht="22" customHeight="1">
      <c r="A40" s="10" t="inlineStr">
        <is>
          <t>SPA-BODY-02</t>
        </is>
      </c>
      <c r="B40" s="11" t="inlineStr">
        <is>
          <t>Ủ Khoáng Nóng Thảo Dược Núi Cao</t>
        </is>
      </c>
      <c r="C40" s="10" t="inlineStr">
        <is>
          <t>QUAL_BODY_WRAP_THERMAL</t>
        </is>
      </c>
      <c r="D40" s="21" t="inlineStr">
        <is>
          <t>DESIGN_APPROVED</t>
        </is>
      </c>
    </row>
    <row r="41" ht="22" customHeight="1">
      <c r="A41" s="4" t="inlineStr">
        <is>
          <t>SPA-HYDRO-01</t>
        </is>
      </c>
      <c r="B41" s="5" t="inlineStr">
        <is>
          <t>Thủy Trị Liệu Vòi Phun Vichy Shower</t>
        </is>
      </c>
      <c r="C41" s="4" t="inlineStr">
        <is>
          <t>QUAL_HYDROTHERAPY</t>
        </is>
      </c>
      <c r="D41" s="21" t="inlineStr">
        <is>
          <t>DESIGN_APPROVED</t>
        </is>
      </c>
    </row>
    <row r="42" ht="22" customHeight="1">
      <c r="A42" s="10" t="inlineStr">
        <is>
          <t>SPA-HYDRO-02</t>
        </is>
      </c>
      <c r="B42" s="11" t="inlineStr">
        <is>
          <t>Ngâm Bồn Khoáng Thảo Dược Dao Đỏ</t>
        </is>
      </c>
      <c r="C42" s="10" t="inlineStr">
        <is>
          <t>QUAL_HYDROTHERAPY</t>
        </is>
      </c>
      <c r="D42" s="21" t="inlineStr">
        <is>
          <t>DESIGN_APPROVED</t>
        </is>
      </c>
    </row>
    <row r="43" ht="22" customHeight="1">
      <c r="A43" s="4" t="inlineStr">
        <is>
          <t>SPA-YOGA-01</t>
        </is>
      </c>
      <c r="B43" s="5" t="inlineStr">
        <is>
          <t>Yoga Trị Liệu Chỉnh Trục Cột Sống 1-1</t>
        </is>
      </c>
      <c r="C43" s="4" t="inlineStr">
        <is>
          <t>QUAL_YOGA_THERAPY_RYT200_500</t>
        </is>
      </c>
      <c r="D43" s="21" t="inlineStr">
        <is>
          <t>DESIGN_APPROVED</t>
        </is>
      </c>
    </row>
    <row r="44" ht="22" customHeight="1">
      <c r="A44" s="10" t="inlineStr">
        <is>
          <t>SPA-YOGA-02</t>
        </is>
      </c>
      <c r="B44" s="11" t="inlineStr">
        <is>
          <t>Hít Thở Năng Lượng &amp; Thiền Định</t>
        </is>
      </c>
      <c r="C44" s="10" t="inlineStr">
        <is>
          <t>QUAL_MINDFULNESS_COACH</t>
        </is>
      </c>
      <c r="D44" s="21" t="inlineStr">
        <is>
          <t>DESIGN_APPROVED</t>
        </is>
      </c>
    </row>
    <row r="45"/>
    <row r="46"/>
    <row r="47" ht="24" customHeight="1">
      <c r="A47" s="30" t="inlineStr">
        <is>
          <t>BẢNG C: HỒ SƠ CHỨNG CHỈ KỸ THUẬT VIÊN THỰC TẾ (THERAPIST_QUALIFICATION - CHỜ NGUỒN NHÂN SỰ XÁC THỰC)</t>
        </is>
      </c>
    </row>
    <row r="48" ht="34" customHeight="1">
      <c r="A48" s="3" t="inlineStr">
        <is>
          <t>Mã KTV (therapist_id)</t>
        </is>
      </c>
      <c r="B48" s="3" t="inlineStr">
        <is>
          <t>Mã Chứng Chỉ (qualification_code)</t>
        </is>
      </c>
      <c r="C48" s="3" t="inlineStr">
        <is>
          <t>Trạng Thái Hiệu Lực (is_active)</t>
        </is>
      </c>
      <c r="D48" s="3" t="inlineStr">
        <is>
          <t>Ngày Hết Hạn (expiration_date)</t>
        </is>
      </c>
      <c r="E48" s="3" t="inlineStr">
        <is>
          <t>Trạng Thái Dữ Liệu</t>
        </is>
      </c>
    </row>
    <row r="49" ht="26" customHeight="1">
      <c r="A49" s="5" t="inlineStr">
        <is>
          <t>[TRỐNG - CHỜ NHÂN SỰ]</t>
        </is>
      </c>
      <c r="B49" s="5" t="inlineStr">
        <is>
          <t>[CHƯA GÁN]</t>
        </is>
      </c>
      <c r="C49" s="22" t="inlineStr">
        <is>
          <t>PENDING_HR_DATA</t>
        </is>
      </c>
      <c r="D49" s="22" t="inlineStr">
        <is>
          <t>PENDING_HR_DATA</t>
        </is>
      </c>
      <c r="E49" s="22" t="inlineStr">
        <is>
          <t>PENDING_HR_DATA</t>
        </is>
      </c>
    </row>
    <row r="50" ht="26" customHeight="1">
      <c r="A50" s="5" t="inlineStr">
        <is>
          <t>Lưu ý quy tắc:</t>
        </is>
      </c>
      <c r="B50" s="5" t="inlineStr">
        <is>
          <t>Chỉ điền khi có hồ sơ bằng cấp KTV thực tế.</t>
        </is>
      </c>
      <c r="C50" s="12" t="inlineStr">
        <is>
          <t>Không tự tạo ID nhân viên giả.</t>
        </is>
      </c>
      <c r="D50" s="12" t="inlineStr">
        <is>
          <t>Hệ thống tự động lọc theo Rule 11.</t>
        </is>
      </c>
      <c r="E50" s="12" t="inlineStr">
        <is>
          <t>RULE_CONFIRMED</t>
        </is>
      </c>
    </row>
  </sheetData>
  <mergeCells count="5">
    <mergeCell ref="A2:E2"/>
    <mergeCell ref="A47:E47"/>
    <mergeCell ref="A1:E1"/>
    <mergeCell ref="A25:D25"/>
    <mergeCell ref="A4:C4"/>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2026-10-16T11:01:13Z</dcterms:created>
  <dcterms:modified xmlns:dcterms="http://purl.org/dc/terms/" xmlns:xsi="http://www.w3.org/2001/XMLSchema-instance" xsi:type="dcterms:W3CDTF">2026-10-16T11:01:13Z</dcterms:modified>
</cp:coreProperties>
</file>